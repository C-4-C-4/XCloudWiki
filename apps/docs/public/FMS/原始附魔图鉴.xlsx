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ofiso\Desktop\"/>
    </mc:Choice>
  </mc:AlternateContent>
  <xr:revisionPtr revIDLastSave="0" documentId="13_ncr:1_{113310A0-F02D-467B-B4C8-3DE206636399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8" i="1" l="1"/>
  <c r="G115" i="1"/>
  <c r="G214" i="1"/>
  <c r="G198" i="1"/>
  <c r="F235" i="1"/>
  <c r="G245" i="1"/>
  <c r="F245" i="1"/>
  <c r="F236" i="1"/>
  <c r="E236" i="1"/>
  <c r="F244" i="1"/>
  <c r="F243" i="1"/>
  <c r="G242" i="1"/>
  <c r="F242" i="1"/>
  <c r="F231" i="1"/>
  <c r="F241" i="1"/>
  <c r="F240" i="1"/>
  <c r="F239" i="1"/>
  <c r="F238" i="1"/>
  <c r="E238" i="1"/>
  <c r="F237" i="1"/>
  <c r="F234" i="1"/>
  <c r="F233" i="1"/>
  <c r="F230" i="1"/>
  <c r="F232" i="1"/>
  <c r="F229" i="1"/>
  <c r="F228" i="1"/>
  <c r="F227" i="1"/>
  <c r="F226" i="1"/>
  <c r="F225" i="1"/>
  <c r="F224" i="1"/>
  <c r="F219" i="1"/>
  <c r="E219" i="1"/>
  <c r="F218" i="1"/>
  <c r="F217" i="1"/>
  <c r="F216" i="1"/>
  <c r="F214" i="1"/>
  <c r="E214" i="1"/>
  <c r="G213" i="1"/>
  <c r="F212" i="1"/>
  <c r="E212" i="1"/>
  <c r="G211" i="1"/>
  <c r="F211" i="1"/>
  <c r="E211" i="1"/>
  <c r="F210" i="1"/>
  <c r="F209" i="1"/>
  <c r="E209" i="1"/>
  <c r="F208" i="1"/>
  <c r="F207" i="1"/>
  <c r="G206" i="1"/>
  <c r="F206" i="1"/>
  <c r="F205" i="1"/>
  <c r="F204" i="1"/>
  <c r="F203" i="1"/>
  <c r="F183" i="1"/>
  <c r="E183" i="1"/>
  <c r="G182" i="1"/>
  <c r="F182" i="1"/>
  <c r="G181" i="1"/>
  <c r="F180" i="1"/>
  <c r="F179" i="1"/>
  <c r="F178" i="1"/>
  <c r="G177" i="1"/>
  <c r="F177" i="1"/>
  <c r="F114" i="1"/>
  <c r="E114" i="1"/>
  <c r="F113" i="1"/>
  <c r="F112" i="1"/>
  <c r="F111" i="1"/>
  <c r="F110" i="1"/>
  <c r="F109" i="1"/>
  <c r="F108" i="1"/>
  <c r="G107" i="1"/>
  <c r="F107" i="1"/>
  <c r="G144" i="1"/>
  <c r="F202" i="1"/>
  <c r="F201" i="1"/>
  <c r="F200" i="1"/>
  <c r="F199" i="1"/>
  <c r="F198" i="1"/>
  <c r="E198" i="1"/>
  <c r="E193" i="1"/>
  <c r="F197" i="1"/>
  <c r="E197" i="1"/>
  <c r="G196" i="1"/>
  <c r="F196" i="1"/>
  <c r="E196" i="1"/>
  <c r="F195" i="1"/>
  <c r="F194" i="1"/>
  <c r="F193" i="1"/>
  <c r="F192" i="1"/>
  <c r="F191" i="1"/>
  <c r="G190" i="1"/>
  <c r="F190" i="1"/>
  <c r="F189" i="1"/>
  <c r="F175" i="1"/>
  <c r="F173" i="1"/>
  <c r="E172" i="1"/>
  <c r="F172" i="1"/>
  <c r="F170" i="1"/>
  <c r="F168" i="1"/>
  <c r="F167" i="1"/>
  <c r="F166" i="1"/>
  <c r="F164" i="1"/>
  <c r="F163" i="1"/>
  <c r="F162" i="1"/>
  <c r="F160" i="1"/>
  <c r="F159" i="1"/>
  <c r="G158" i="1"/>
  <c r="F157" i="1"/>
  <c r="E157" i="1"/>
  <c r="F156" i="1"/>
  <c r="F155" i="1"/>
  <c r="F154" i="1"/>
  <c r="E154" i="1"/>
  <c r="F153" i="1"/>
  <c r="F149" i="1"/>
  <c r="F152" i="1"/>
  <c r="F151" i="1"/>
  <c r="F150" i="1"/>
  <c r="F148" i="1"/>
  <c r="E148" i="1"/>
  <c r="F147" i="1"/>
  <c r="E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E133" i="1"/>
  <c r="F132" i="1"/>
  <c r="F131" i="1"/>
  <c r="F130" i="1"/>
  <c r="G129" i="1"/>
  <c r="F129" i="1"/>
  <c r="F128" i="1"/>
  <c r="F125" i="1"/>
  <c r="F124" i="1"/>
  <c r="F123" i="1"/>
  <c r="F122" i="1"/>
  <c r="G120" i="1"/>
  <c r="F120" i="1"/>
  <c r="F101" i="1"/>
  <c r="F100" i="1"/>
  <c r="F99" i="1"/>
  <c r="F97" i="1"/>
  <c r="F96" i="1"/>
  <c r="F95" i="1"/>
  <c r="F94" i="1"/>
  <c r="F93" i="1"/>
  <c r="F92" i="1"/>
  <c r="E92" i="1"/>
  <c r="F91" i="1"/>
  <c r="F90" i="1"/>
  <c r="G89" i="1"/>
  <c r="F89" i="1"/>
  <c r="F88" i="1"/>
  <c r="F87" i="1"/>
  <c r="F86" i="1"/>
  <c r="F85" i="1"/>
  <c r="F84" i="1"/>
  <c r="F83" i="1"/>
  <c r="F82" i="1"/>
  <c r="G76" i="1"/>
  <c r="G69" i="1"/>
  <c r="G66" i="1"/>
  <c r="G63" i="1"/>
  <c r="F80" i="1"/>
  <c r="F79" i="1"/>
  <c r="F78" i="1"/>
  <c r="F77" i="1"/>
  <c r="F75" i="1"/>
  <c r="F74" i="1"/>
  <c r="F73" i="1"/>
  <c r="F72" i="1"/>
  <c r="E72" i="1"/>
  <c r="F71" i="1"/>
  <c r="F70" i="1"/>
  <c r="F68" i="1"/>
  <c r="F67" i="1"/>
  <c r="F66" i="1"/>
  <c r="F65" i="1"/>
  <c r="F63" i="1"/>
  <c r="F62" i="1"/>
  <c r="F58" i="1"/>
  <c r="E58" i="1"/>
  <c r="F53" i="1"/>
  <c r="E51" i="1"/>
  <c r="F50" i="1"/>
  <c r="F47" i="1"/>
  <c r="F46" i="1"/>
  <c r="F45" i="1"/>
  <c r="E45" i="1"/>
  <c r="F41" i="1"/>
  <c r="F40" i="1"/>
  <c r="F39" i="1"/>
  <c r="F38" i="1"/>
  <c r="E33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19" i="1"/>
  <c r="F16" i="1"/>
  <c r="F17" i="1"/>
  <c r="F18" i="1"/>
  <c r="F14" i="1"/>
  <c r="F223" i="1"/>
  <c r="F222" i="1"/>
  <c r="E222" i="1"/>
  <c r="E221" i="1"/>
  <c r="E220" i="1"/>
  <c r="F188" i="1"/>
  <c r="E188" i="1"/>
  <c r="G187" i="1"/>
  <c r="F187" i="1"/>
  <c r="F186" i="1"/>
  <c r="F185" i="1"/>
  <c r="F184" i="1"/>
  <c r="F119" i="1"/>
  <c r="F118" i="1"/>
  <c r="G117" i="1"/>
  <c r="F116" i="1"/>
  <c r="F115" i="1"/>
  <c r="F61" i="1"/>
  <c r="G60" i="1"/>
  <c r="F60" i="1"/>
  <c r="F59" i="1"/>
  <c r="F13" i="1"/>
  <c r="F12" i="1"/>
  <c r="F11" i="1"/>
  <c r="E14" i="1"/>
  <c r="G7" i="1"/>
  <c r="F8" i="1"/>
  <c r="E10" i="1"/>
  <c r="F5" i="1"/>
  <c r="F10" i="1"/>
  <c r="F9" i="1"/>
  <c r="F7" i="1"/>
  <c r="F4" i="1"/>
  <c r="F3" i="1"/>
  <c r="G207" i="1"/>
  <c r="F2" i="1"/>
  <c r="F6" i="1"/>
  <c r="F51" i="1"/>
  <c r="F127" i="1"/>
  <c r="F176" i="1"/>
</calcChain>
</file>

<file path=xl/sharedStrings.xml><?xml version="1.0" encoding="utf-8"?>
<sst xmlns="http://schemas.openxmlformats.org/spreadsheetml/2006/main" count="1051" uniqueCount="562">
  <si>
    <t>名称</t>
    <phoneticPr fontId="1" type="noConversion"/>
  </si>
  <si>
    <t>等级</t>
    <phoneticPr fontId="1" type="noConversion"/>
  </si>
  <si>
    <t>品质</t>
    <phoneticPr fontId="1" type="noConversion"/>
  </si>
  <si>
    <t>效果</t>
    <phoneticPr fontId="1" type="noConversion"/>
  </si>
  <si>
    <t>可使用类型</t>
    <phoneticPr fontId="1" type="noConversion"/>
  </si>
  <si>
    <t>引用数据【没事别改】</t>
    <phoneticPr fontId="1" type="noConversion"/>
  </si>
  <si>
    <t>白</t>
    <phoneticPr fontId="1" type="noConversion"/>
  </si>
  <si>
    <t>屠龙者</t>
    <phoneticPr fontId="1" type="noConversion"/>
  </si>
  <si>
    <t>弓,弩</t>
  </si>
  <si>
    <t>弓,弩</t>
    <phoneticPr fontId="1" type="noConversion"/>
  </si>
  <si>
    <t>增加对末影龙的伤害</t>
    <phoneticPr fontId="1" type="noConversion"/>
  </si>
  <si>
    <t>绿</t>
    <phoneticPr fontId="1" type="noConversion"/>
  </si>
  <si>
    <t>裂地矛</t>
    <phoneticPr fontId="1" type="noConversion"/>
  </si>
  <si>
    <t>长矛</t>
    <phoneticPr fontId="1" type="noConversion"/>
  </si>
  <si>
    <t>Shift右键释放地裂波 造成伤害</t>
    <phoneticPr fontId="1" type="noConversion"/>
  </si>
  <si>
    <t>2.Tip:等级可切换</t>
    <phoneticPr fontId="1" type="noConversion"/>
  </si>
  <si>
    <t>1.Tip:所有附魔都与一件开天门冲突</t>
    <phoneticPr fontId="1" type="noConversion"/>
  </si>
  <si>
    <t>冲突附魔[除Tip1 若无则空]</t>
    <phoneticPr fontId="1" type="noConversion"/>
  </si>
  <si>
    <t>坚甲</t>
    <phoneticPr fontId="1" type="noConversion"/>
  </si>
  <si>
    <t>头盔,胸甲,护腿,靴子</t>
    <phoneticPr fontId="1" type="noConversion"/>
  </si>
  <si>
    <t>3.Tip:金色/红色同品质只能存在一个</t>
    <phoneticPr fontId="1" type="noConversion"/>
  </si>
  <si>
    <t>紫</t>
    <phoneticPr fontId="1" type="noConversion"/>
  </si>
  <si>
    <t>铁匠祝福</t>
    <phoneticPr fontId="1" type="noConversion"/>
  </si>
  <si>
    <t>所有</t>
    <phoneticPr fontId="1" type="noConversion"/>
  </si>
  <si>
    <t>一段时间恢复一次装备耐久</t>
    <phoneticPr fontId="1" type="noConversion"/>
  </si>
  <si>
    <t>经验修补</t>
    <phoneticPr fontId="1" type="noConversion"/>
  </si>
  <si>
    <t>增加RPG防御[最终减少固定伤害]</t>
    <phoneticPr fontId="1" type="noConversion"/>
  </si>
  <si>
    <t>决斗守御</t>
    <phoneticPr fontId="1" type="noConversion"/>
  </si>
  <si>
    <t>增加PVP防御</t>
    <phoneticPr fontId="1" type="noConversion"/>
  </si>
  <si>
    <t>连突</t>
    <phoneticPr fontId="1" type="noConversion"/>
  </si>
  <si>
    <t>贯穿冲锋命中重置贯穿冲锋CD</t>
    <phoneticPr fontId="1" type="noConversion"/>
  </si>
  <si>
    <t>金</t>
    <phoneticPr fontId="1" type="noConversion"/>
  </si>
  <si>
    <t>震荡</t>
    <phoneticPr fontId="1" type="noConversion"/>
  </si>
  <si>
    <t>重锤</t>
    <phoneticPr fontId="1" type="noConversion"/>
  </si>
  <si>
    <t>贯穿冲锋</t>
    <phoneticPr fontId="1" type="noConversion"/>
  </si>
  <si>
    <t>右键突击 撞击后造成伤害</t>
    <phoneticPr fontId="1" type="noConversion"/>
  </si>
  <si>
    <t>红</t>
    <phoneticPr fontId="1" type="noConversion"/>
  </si>
  <si>
    <t>硬化护体</t>
    <phoneticPr fontId="1" type="noConversion"/>
  </si>
  <si>
    <t>增加减伤</t>
    <phoneticPr fontId="1" type="noConversion"/>
  </si>
  <si>
    <t>生命结界</t>
    <phoneticPr fontId="1" type="noConversion"/>
  </si>
  <si>
    <t>增加生命值</t>
    <phoneticPr fontId="1" type="noConversion"/>
  </si>
  <si>
    <t>蜘蛛杀手</t>
    <phoneticPr fontId="1" type="noConversion"/>
  </si>
  <si>
    <t>增加对蜘蛛的伤害</t>
    <phoneticPr fontId="1" type="noConversion"/>
  </si>
  <si>
    <t>恶意,穿刺</t>
    <phoneticPr fontId="1" type="noConversion"/>
  </si>
  <si>
    <t>剑,斧,锄,三叉戟</t>
  </si>
  <si>
    <t>剑,斧,锄,三叉戟</t>
    <phoneticPr fontId="1" type="noConversion"/>
  </si>
  <si>
    <t>饥荒</t>
    <phoneticPr fontId="1" type="noConversion"/>
  </si>
  <si>
    <t>头盔</t>
    <phoneticPr fontId="1" type="noConversion"/>
  </si>
  <si>
    <t>增加饥饿损失</t>
    <phoneticPr fontId="1" type="noConversion"/>
  </si>
  <si>
    <t xml:space="preserve">猪灵杀手
</t>
    <phoneticPr fontId="1" type="noConversion"/>
  </si>
  <si>
    <t>增加对猪灵的伤害</t>
    <phoneticPr fontId="1" type="noConversion"/>
  </si>
  <si>
    <t>屠夫</t>
    <phoneticPr fontId="1" type="noConversion"/>
  </si>
  <si>
    <t>CD</t>
    <phoneticPr fontId="1" type="noConversion"/>
  </si>
  <si>
    <t>数值</t>
    <phoneticPr fontId="1" type="noConversion"/>
  </si>
  <si>
    <t>4.Tip:若是没有对应的属性就会留空</t>
    <phoneticPr fontId="1" type="noConversion"/>
  </si>
  <si>
    <t>增加对被动生物的伤害</t>
    <phoneticPr fontId="1" type="noConversion"/>
  </si>
  <si>
    <t>剑</t>
    <phoneticPr fontId="1" type="noConversion"/>
  </si>
  <si>
    <t>锋利,亡灵杀手,节肢杀手,暗夜静默,裂魂,裁决</t>
  </si>
  <si>
    <t xml:space="preserve">僵尸召唤
</t>
    <phoneticPr fontId="1" type="noConversion"/>
  </si>
  <si>
    <t>召唤急速僵尸为你战斗几秒</t>
    <phoneticPr fontId="1" type="noConversion"/>
  </si>
  <si>
    <t>神秘守护</t>
    <phoneticPr fontId="1" type="noConversion"/>
  </si>
  <si>
    <t xml:space="preserve">有几率忽略药水效果 </t>
    <phoneticPr fontId="1" type="noConversion"/>
  </si>
  <si>
    <t>腐化</t>
    <phoneticPr fontId="1" type="noConversion"/>
  </si>
  <si>
    <t>射中目标使敌人中毒几秒</t>
    <phoneticPr fontId="1" type="noConversion"/>
  </si>
  <si>
    <t>饥饿</t>
    <phoneticPr fontId="1" type="noConversion"/>
  </si>
  <si>
    <t>剑,斧,三叉戟,锄,弓,弩</t>
  </si>
  <si>
    <t>编辑者satori1024</t>
    <phoneticPr fontId="1" type="noConversion"/>
  </si>
  <si>
    <t>激素矿工</t>
    <phoneticPr fontId="1" type="noConversion"/>
  </si>
  <si>
    <t>镐</t>
    <phoneticPr fontId="1" type="noConversion"/>
  </si>
  <si>
    <t>灵羽之力</t>
    <phoneticPr fontId="1" type="noConversion"/>
  </si>
  <si>
    <t>鞘翅</t>
    <phoneticPr fontId="1" type="noConversion"/>
  </si>
  <si>
    <t>20秒</t>
    <phoneticPr fontId="1" type="noConversion"/>
  </si>
  <si>
    <t>夜之眼</t>
    <phoneticPr fontId="1" type="noConversion"/>
  </si>
  <si>
    <t>岿然不动</t>
    <phoneticPr fontId="1" type="noConversion"/>
  </si>
  <si>
    <t>护腿</t>
    <phoneticPr fontId="1" type="noConversion"/>
  </si>
  <si>
    <t>落羽</t>
    <phoneticPr fontId="1" type="noConversion"/>
  </si>
  <si>
    <t>给予缓降效果</t>
    <phoneticPr fontId="1" type="noConversion"/>
  </si>
  <si>
    <t>Shift无法移动并给予抗性提升效果</t>
    <phoneticPr fontId="1" type="noConversion"/>
  </si>
  <si>
    <t>跳跃强化</t>
    <phoneticPr fontId="1" type="noConversion"/>
  </si>
  <si>
    <t>给予跳跃提升效果</t>
    <phoneticPr fontId="1" type="noConversion"/>
  </si>
  <si>
    <t>绝境坚守</t>
    <phoneticPr fontId="1" type="noConversion"/>
  </si>
  <si>
    <t>生命低于20%后给予抗性提升效果</t>
    <phoneticPr fontId="1" type="noConversion"/>
  </si>
  <si>
    <t>绝处逢生</t>
    <phoneticPr fontId="1" type="noConversion"/>
  </si>
  <si>
    <t>生命低于20%后给予生命回复效果</t>
    <phoneticPr fontId="1" type="noConversion"/>
  </si>
  <si>
    <t>武器大师</t>
    <phoneticPr fontId="1" type="noConversion"/>
  </si>
  <si>
    <t>混乱</t>
    <phoneticPr fontId="1" type="noConversion"/>
  </si>
  <si>
    <t>药罐子宝典</t>
    <phoneticPr fontId="1" type="noConversion"/>
  </si>
  <si>
    <t>紊乱</t>
    <phoneticPr fontId="1" type="noConversion"/>
  </si>
  <si>
    <t>对敌人手持物品造成损耗</t>
    <phoneticPr fontId="1" type="noConversion"/>
  </si>
  <si>
    <t>击中的单位获得速度与跳跃提升效果几秒</t>
    <phoneticPr fontId="1" type="noConversion"/>
  </si>
  <si>
    <t>脚下留情</t>
  </si>
  <si>
    <t>靴子</t>
  </si>
  <si>
    <t>防止跳跃时踩坏庄稼</t>
  </si>
  <si>
    <t>幻翼杀手</t>
  </si>
  <si>
    <t>增加对幻翼的伤害</t>
  </si>
  <si>
    <t>恶意,穿刺</t>
  </si>
  <si>
    <t>尸壳杀手</t>
  </si>
  <si>
    <t>增加对尸壳的伤害</t>
  </si>
  <si>
    <t>爬行者杀手</t>
  </si>
  <si>
    <t>增加对爬行者的伤害</t>
  </si>
  <si>
    <t>荆棘</t>
  </si>
  <si>
    <t>饕餮</t>
  </si>
  <si>
    <t>胸甲</t>
  </si>
  <si>
    <t>减少吃食物获得的饱食度</t>
  </si>
  <si>
    <t>永恒诅咒</t>
  </si>
  <si>
    <t>全部</t>
  </si>
  <si>
    <t>无法在铁砧使用</t>
  </si>
  <si>
    <t>心灵感应</t>
  </si>
  <si>
    <t>掉落物和经验直接进入背包</t>
  </si>
  <si>
    <t>骷髅杀手</t>
  </si>
  <si>
    <t>增加对骷髅的伤害</t>
  </si>
  <si>
    <t>女巫杀手</t>
  </si>
  <si>
    <t>增加对女巫的伤害</t>
  </si>
  <si>
    <t>潜影贝的馈赠</t>
  </si>
  <si>
    <t>剑</t>
  </si>
  <si>
    <t>增加潜影贝的掉落</t>
  </si>
  <si>
    <t>剑,斧</t>
  </si>
  <si>
    <t>抢夺</t>
  </si>
  <si>
    <t>雷管爆破</t>
  </si>
  <si>
    <t>锋利,截肢杀手,亡灵杀手,末影终结,剑神</t>
  </si>
  <si>
    <t>流浪者杀手</t>
  </si>
  <si>
    <t>增加对流浪者的伤害</t>
  </si>
  <si>
    <t>烈焰人杀手</t>
  </si>
  <si>
    <t>增加对烈焰人的伤害</t>
  </si>
  <si>
    <t>青金石傀儡</t>
  </si>
  <si>
    <t>附魔物品时有几率不消耗青金石</t>
  </si>
  <si>
    <t>园丁宝典</t>
  </si>
  <si>
    <t>护腿</t>
  </si>
  <si>
    <t>美食大厨宝典</t>
  </si>
  <si>
    <t>头盔</t>
  </si>
  <si>
    <t>龟息术</t>
  </si>
  <si>
    <t>有几率免疫窒息伤害</t>
  </si>
  <si>
    <t>建筑师宝典</t>
  </si>
  <si>
    <t>有几率额外获得美食大厨经验和职业点</t>
  </si>
  <si>
    <t>有几率额外获得园丁经验和职业点</t>
  </si>
  <si>
    <t>有几率额外获得药罐子经验和职业点</t>
  </si>
  <si>
    <t>有几率额外获得建筑师经验和职业点</t>
  </si>
  <si>
    <t>绝地逃生</t>
  </si>
  <si>
    <t>生命低于20%后增加移动速度</t>
  </si>
  <si>
    <t>女巫的诅咒</t>
  </si>
  <si>
    <t>凋零杀手</t>
  </si>
  <si>
    <t>增加对凋零骷髅的伤害</t>
  </si>
  <si>
    <t>溺尸杀手</t>
  </si>
  <si>
    <t>增加对溺尸的伤害</t>
  </si>
  <si>
    <t>锈蚀</t>
  </si>
  <si>
    <t>斧,锄,稿,铲子</t>
  </si>
  <si>
    <t>有几率不能打破方块</t>
  </si>
  <si>
    <t>与世隔绝</t>
  </si>
  <si>
    <t>有几率无法放置方块</t>
  </si>
  <si>
    <t>软弱无力</t>
  </si>
  <si>
    <t>有几率使你的攻击无效</t>
  </si>
  <si>
    <t>腐蚀</t>
  </si>
  <si>
    <t>对敌人护甲造成损耗</t>
  </si>
  <si>
    <t>疣猪兽杀手</t>
  </si>
  <si>
    <t>增加对疣猪兽的伤害</t>
  </si>
  <si>
    <t>僵尸杀手</t>
  </si>
  <si>
    <t>增加对僵尸的伤害</t>
  </si>
  <si>
    <t>灵魂绑定</t>
  </si>
  <si>
    <t>死亡时保留此物品</t>
  </si>
  <si>
    <t>弹刀</t>
  </si>
  <si>
    <t>攻击时无法造成伤害</t>
  </si>
  <si>
    <t>锋利,亡灵杀手,截肢杀手</t>
  </si>
  <si>
    <t>无限之矢</t>
  </si>
  <si>
    <t>弩</t>
  </si>
  <si>
    <t>每次射中目标时获得新箭</t>
  </si>
  <si>
    <t>火焰保护</t>
  </si>
  <si>
    <t>头盔,胸甲,护腿,靴子</t>
  </si>
  <si>
    <t>保护,弹射保护,爆炸保护</t>
  </si>
  <si>
    <t>耐久</t>
  </si>
  <si>
    <t>头盔,胸甲,护腿,靴子,剑,弓,弩,斧,稿,锄,铲子,钓鱼竿,三叉戟,锤</t>
  </si>
  <si>
    <t>增加物品耐久</t>
  </si>
  <si>
    <t>摔落保护</t>
  </si>
  <si>
    <t>减少摔落伤害</t>
  </si>
  <si>
    <t>水下呼吸</t>
  </si>
  <si>
    <t>击退</t>
  </si>
  <si>
    <t>攻击获得击退加成</t>
  </si>
  <si>
    <t>延长水下呼吸时间,有几率免除溺水伤害</t>
  </si>
  <si>
    <t>远离</t>
  </si>
  <si>
    <t>弹射保护</t>
  </si>
  <si>
    <t>减少受到的弹射物伤害</t>
  </si>
  <si>
    <t>保护,火焰保护,爆炸保护</t>
  </si>
  <si>
    <t>火焰附加</t>
  </si>
  <si>
    <t>剑,锤</t>
  </si>
  <si>
    <t>引雷</t>
  </si>
  <si>
    <t>三叉戟</t>
  </si>
  <si>
    <t>三叉戟击中目标时召唤闪电</t>
  </si>
  <si>
    <t>召雷,激流</t>
  </si>
  <si>
    <t>冰霜行者</t>
  </si>
  <si>
    <t>将玩家脚下的水变成冰</t>
  </si>
  <si>
    <t>海底探索者</t>
  </si>
  <si>
    <t>灵魂疾行</t>
  </si>
  <si>
    <t>增加在灵魂沙和灵魂土上的移动速度</t>
  </si>
  <si>
    <t>横扫之刃</t>
  </si>
  <si>
    <t>增加横扫的伤害</t>
  </si>
  <si>
    <t>绑定诅咒</t>
  </si>
  <si>
    <t>物品不能从护甲栏中移除</t>
  </si>
  <si>
    <t>物品无法被取下直到物品损坏</t>
  </si>
  <si>
    <t>爆炸保护</t>
  </si>
  <si>
    <t>保护,火焰保护,弹射保护</t>
  </si>
  <si>
    <t>箭能穿透实体</t>
  </si>
  <si>
    <t>幸运星</t>
  </si>
  <si>
    <t>钓鱼竿</t>
  </si>
  <si>
    <t>钓起鱼时获得幸运效果</t>
  </si>
  <si>
    <t>抗火稿</t>
  </si>
  <si>
    <t>稿</t>
  </si>
  <si>
    <t>持有时获得抗火效果</t>
  </si>
  <si>
    <t>猎物印记</t>
  </si>
  <si>
    <t>剑,斧,锄头</t>
  </si>
  <si>
    <t>攻击敌人时使敌人宾周发光</t>
  </si>
  <si>
    <t>雪傀儡召唤</t>
  </si>
  <si>
    <t>抛掷雪球召唤雪傀儡为你战斗</t>
  </si>
  <si>
    <t>暗夜静默</t>
  </si>
  <si>
    <t>在黑暗中对坚守者造成额外伤害</t>
  </si>
  <si>
    <t>回弦</t>
  </si>
  <si>
    <t>鱼竿勾中实体拉回速度变快</t>
  </si>
  <si>
    <t>召雷</t>
  </si>
  <si>
    <t>三叉戟左键召唤闪电</t>
  </si>
  <si>
    <t>狂战士宝典</t>
  </si>
  <si>
    <t>斧</t>
  </si>
  <si>
    <t>有几率额外获得狂战士经验和职业点</t>
  </si>
  <si>
    <t>忍者</t>
  </si>
  <si>
    <t>潜行时造成额外近战伤害</t>
  </si>
  <si>
    <t>失明</t>
  </si>
  <si>
    <t>考古学家宝典</t>
  </si>
  <si>
    <t>刷子</t>
  </si>
  <si>
    <t>有几率额外获得考古学家经验和职业点</t>
  </si>
  <si>
    <t>恶意</t>
  </si>
  <si>
    <t>增加三叉戟对中立生物的伤害</t>
  </si>
  <si>
    <t>穿刺,尸壳杀手,幻翼杀手,猪灵杀手,骷髅杀手,女巫杀手,流浪者杀手,烈焰人杀手,蜘蛛杀手,溺尸杀手,疣猪兽杀手,僵尸杀手,</t>
  </si>
  <si>
    <t>渔夫宝典</t>
  </si>
  <si>
    <t>有几率额外获得渔夫经验和职业点</t>
  </si>
  <si>
    <t>快速生长</t>
  </si>
  <si>
    <t>锄</t>
  </si>
  <si>
    <t>右键可快速催熟农作物</t>
  </si>
  <si>
    <t>末影终结</t>
  </si>
  <si>
    <t>增加对末影生物伤害</t>
  </si>
  <si>
    <t>爬行者杀手,剑神</t>
  </si>
  <si>
    <t>热血澎湃</t>
  </si>
  <si>
    <t>在受到伤害后短暂获得速度加成</t>
  </si>
  <si>
    <t>狙击</t>
  </si>
  <si>
    <t>弓,弩,三叉戟</t>
  </si>
  <si>
    <t>增加弓箭爆头伤害</t>
  </si>
  <si>
    <t>浴血狂战</t>
  </si>
  <si>
    <t>造成的伤害治疗自身</t>
  </si>
  <si>
    <t>狂舞挥打,斧刃</t>
  </si>
  <si>
    <t>净化之刃</t>
  </si>
  <si>
    <t>有几率移除你对手全部的正面效果</t>
  </si>
  <si>
    <t>矿工宝典</t>
  </si>
  <si>
    <t>有几率额外获得煤老板经验和职业点</t>
  </si>
  <si>
    <t>翼人的祝福</t>
  </si>
  <si>
    <t>在空中额外增加弓箭伤害</t>
  </si>
  <si>
    <t>弩手宝典</t>
  </si>
  <si>
    <t>有几率额外获得弩手经验和职业点</t>
  </si>
  <si>
    <t>给予额外的击退效果</t>
  </si>
  <si>
    <t>逆流而上</t>
  </si>
  <si>
    <t>怪物生命值高于230时造成更多伤害最多多造成几点伤害</t>
  </si>
  <si>
    <t>力量增幅</t>
  </si>
  <si>
    <t>在有力量效果时提升近战伤害</t>
  </si>
  <si>
    <t>绿宝石之星</t>
  </si>
  <si>
    <t>颠鸾倒凤</t>
  </si>
  <si>
    <t>有几率打乱对手的快捷栏</t>
  </si>
  <si>
    <t>悬浮</t>
  </si>
  <si>
    <t>将你悬浮空中,持续几秒</t>
  </si>
  <si>
    <t>弹射起步</t>
  </si>
  <si>
    <t>消耗1绿宝石提升你的近战伤害伤害</t>
  </si>
  <si>
    <t>地狱领主</t>
  </si>
  <si>
    <t>剑,弓,三叉戟</t>
  </si>
  <si>
    <t>在下届造成额外伤害</t>
  </si>
  <si>
    <t>致命一击</t>
  </si>
  <si>
    <t>血流不止</t>
  </si>
  <si>
    <t>锋利</t>
  </si>
  <si>
    <t>弓箭手宝典</t>
  </si>
  <si>
    <t>弓</t>
  </si>
  <si>
    <t>有几率额外获得弓箭手经验和职业点</t>
  </si>
  <si>
    <t>重击</t>
  </si>
  <si>
    <t>剑,斧,弓,弩,三叉戟</t>
  </si>
  <si>
    <t>有几率使被攻击的生物眩晕1秒</t>
  </si>
  <si>
    <t>穿刺</t>
  </si>
  <si>
    <t>三叉戟对水生生物的伤害</t>
  </si>
  <si>
    <t>溺尸杀手,疣猪兽杀手,僵尸杀手,尸壳杀手,幻翼杀手,猪灵杀手,骷髅杀手,女巫杀手,流浪者杀手,烈焰人杀手,蜘蛛杀手,恶意,亡灵杀手,节肢杀手,锋利,破甲,致密</t>
  </si>
  <si>
    <t>穿透</t>
  </si>
  <si>
    <t>多重射击</t>
  </si>
  <si>
    <t>迅捷潜行</t>
  </si>
  <si>
    <t>减少潜行造成的缓慢效果</t>
  </si>
  <si>
    <t>经验修补</t>
  </si>
  <si>
    <t>消耗拾取的经验球来回复物品耐久</t>
  </si>
  <si>
    <t>铁匠赐福,无限</t>
  </si>
  <si>
    <t>保护</t>
  </si>
  <si>
    <t>减少受到的伤害</t>
  </si>
  <si>
    <t>火焰保护,弹射物保护,爆炸保护</t>
  </si>
  <si>
    <t>饵钓</t>
  </si>
  <si>
    <t>减少鱼上钩所需的时间</t>
  </si>
  <si>
    <t>冲击</t>
  </si>
  <si>
    <t>精准采集</t>
  </si>
  <si>
    <t>增加弓箭击退</t>
  </si>
  <si>
    <t>稿,斧,锄,铲子</t>
  </si>
  <si>
    <t>将方块完整挖下</t>
  </si>
  <si>
    <t>水下速掘</t>
  </si>
  <si>
    <t>清除水下挖掘减速惩罚</t>
  </si>
  <si>
    <t>深海探索者</t>
  </si>
  <si>
    <t>减少水下缓慢效果</t>
  </si>
  <si>
    <t>无限</t>
  </si>
  <si>
    <t>不会消耗普通箭矢</t>
  </si>
  <si>
    <t>火失</t>
  </si>
  <si>
    <t>箭头点燃目标并造成5火焰伤害</t>
  </si>
  <si>
    <t>冲击波</t>
  </si>
  <si>
    <t>攻击时在对手脚下爆炸几次</t>
  </si>
  <si>
    <t>音符舞者</t>
  </si>
  <si>
    <t>一步一音符</t>
  </si>
  <si>
    <t>地狱矿工</t>
  </si>
  <si>
    <t>挖掘远古残骸时有几率额外掉落一个</t>
  </si>
  <si>
    <t>精准采集,时运</t>
  </si>
  <si>
    <t>神农献祭</t>
  </si>
  <si>
    <t>灵巧</t>
  </si>
  <si>
    <t>提高攻击速度</t>
  </si>
  <si>
    <t>千骑冲锋</t>
  </si>
  <si>
    <t>无畏疼痛</t>
  </si>
  <si>
    <t>当你受到伤害时获得几秒力量提升</t>
  </si>
  <si>
    <t>神农祝福</t>
  </si>
  <si>
    <t>收获时作物会自动重新种植</t>
  </si>
  <si>
    <t>钻石之星</t>
  </si>
  <si>
    <t>消耗1钻石提升近战伤害</t>
  </si>
  <si>
    <t>剑,斧,弓,三叉戟</t>
  </si>
  <si>
    <t>攻击时有几率造成100点伤害</t>
  </si>
  <si>
    <t>以一种速度向前冲刺</t>
  </si>
  <si>
    <t>悬浮,中娅沙漏</t>
  </si>
  <si>
    <t>高原血统</t>
  </si>
  <si>
    <t>连续攻击增加伤害,最高增加6点</t>
  </si>
  <si>
    <t>在冲刺时有攻速加成</t>
  </si>
  <si>
    <t>肾上腺素</t>
  </si>
  <si>
    <t>盾牌</t>
  </si>
  <si>
    <t>成功格挡时,获得几秒力量4</t>
  </si>
  <si>
    <t>旋风锄</t>
  </si>
  <si>
    <t>愤怒反击</t>
  </si>
  <si>
    <t>当生命低于一半时，增加近战伤害</t>
  </si>
  <si>
    <t>箭术高手</t>
  </si>
  <si>
    <t>以过半的张力射出满箭</t>
  </si>
  <si>
    <t>终极猎手</t>
  </si>
  <si>
    <t>升级咯</t>
  </si>
  <si>
    <t>剑,斧,稿,铲子,锄,弓,弩,三叉戟</t>
  </si>
  <si>
    <t>增加经验掉落</t>
  </si>
  <si>
    <t>灵魂三叉戟</t>
  </si>
  <si>
    <t>飞行战士</t>
  </si>
  <si>
    <t>鞘翅</t>
  </si>
  <si>
    <t>增加近战伤害</t>
  </si>
  <si>
    <t>波塞冬之柄</t>
  </si>
  <si>
    <t>增加三叉戟在水下的伤害</t>
  </si>
  <si>
    <t>经验傀儡</t>
  </si>
  <si>
    <t>附魔物品有几率不消耗经验</t>
  </si>
  <si>
    <t>诸神黄昏</t>
  </si>
  <si>
    <t>觅食</t>
  </si>
  <si>
    <t>剪刀</t>
  </si>
  <si>
    <t>增加树叶掉落苹果的几率</t>
  </si>
  <si>
    <t>寄生虫</t>
  </si>
  <si>
    <t>造成伤害时，部分伤害治疗自身</t>
  </si>
  <si>
    <t>海底宝藏</t>
  </si>
  <si>
    <t>刷可疑方块时获得一些饱食度</t>
  </si>
  <si>
    <t>盾反</t>
  </si>
  <si>
    <t>格挡获得几秒速度提升并使敌人缓慢2秒</t>
  </si>
  <si>
    <t>快锄</t>
  </si>
  <si>
    <t>增加锄头攻击速度</t>
  </si>
  <si>
    <t>远掷</t>
  </si>
  <si>
    <t>未来之刃</t>
  </si>
  <si>
    <t>飓风箭阵</t>
  </si>
  <si>
    <t>死不瞑目</t>
  </si>
  <si>
    <t>死亡时产生一个毒云，持续几秒</t>
  </si>
  <si>
    <t>真实伤害</t>
  </si>
  <si>
    <t>增加点真实伤害</t>
  </si>
  <si>
    <t>反伤刺甲</t>
  </si>
  <si>
    <t>将一些伤害反弹回攻击者</t>
  </si>
  <si>
    <t>精力充沛</t>
  </si>
  <si>
    <t>减少冲刺时消耗的饥饿值</t>
  </si>
  <si>
    <t>森林灾星</t>
  </si>
  <si>
    <t>一次砍掉一棵树的几个方块</t>
  </si>
  <si>
    <t>雷罚</t>
  </si>
  <si>
    <t>连锁采矿</t>
  </si>
  <si>
    <t>在一个矿脉中连锁挖掘几个方块</t>
  </si>
  <si>
    <t>爆破采矿</t>
  </si>
  <si>
    <t>致命之锄</t>
  </si>
  <si>
    <t>增加锄头的伤害</t>
  </si>
  <si>
    <t>凛冬已至</t>
  </si>
  <si>
    <t>时光回溯</t>
  </si>
  <si>
    <t>剑,斧,稿,铲子</t>
  </si>
  <si>
    <t>时空逆流送你到几秒前的位置</t>
  </si>
  <si>
    <t>受到物理伤害时有几率把伤害反弹回攻击者</t>
  </si>
  <si>
    <t>紊乱,腐化,饥饿,女巫的诅咒</t>
  </si>
  <si>
    <t>亡灵杀手</t>
  </si>
  <si>
    <t>剑,斧,锤</t>
  </si>
  <si>
    <t>增加对亡灵生物的伤害</t>
  </si>
  <si>
    <t>突进</t>
  </si>
  <si>
    <t>消耗饥饿值以一种速度向前冲刺</t>
  </si>
  <si>
    <t>海之眷顾</t>
  </si>
  <si>
    <t>增加钓上宝藏的几率</t>
  </si>
  <si>
    <t>力量</t>
  </si>
  <si>
    <t>增加弓的伤害</t>
  </si>
  <si>
    <t>终极猎手,聚能弓,聚能弩</t>
  </si>
  <si>
    <t>激流</t>
  </si>
  <si>
    <t>引雷,忠诚</t>
  </si>
  <si>
    <t>破甲</t>
  </si>
  <si>
    <t>锤</t>
  </si>
  <si>
    <t>减少对方护甲和韧性的减伤</t>
  </si>
  <si>
    <t>穿刺,亡灵杀手,节肢杀手,锋利,致密</t>
  </si>
  <si>
    <t>节肢杀手</t>
  </si>
  <si>
    <t>增加对节肢生物的伤害</t>
  </si>
  <si>
    <t>效率</t>
  </si>
  <si>
    <t>增加挖掘速度</t>
  </si>
  <si>
    <t>时运</t>
  </si>
  <si>
    <t>增加物品掉落率</t>
  </si>
  <si>
    <t>精准采集,地狱矿工</t>
  </si>
  <si>
    <t>致密</t>
  </si>
  <si>
    <t>增加下落攻击伤害</t>
  </si>
  <si>
    <t>穿刺,亡灵杀手,节肢杀手,锋利,破甲</t>
  </si>
  <si>
    <t>忠诚</t>
  </si>
  <si>
    <t>丢出的三叉戟会返回到手中</t>
  </si>
  <si>
    <t>快速装填</t>
  </si>
  <si>
    <t>减少弩的装填时间</t>
  </si>
  <si>
    <t>弩一次射出3支箭</t>
  </si>
  <si>
    <t>穿透,爆炸箭头,终极猎手,万箭齐发</t>
  </si>
  <si>
    <t>风暴</t>
  </si>
  <si>
    <t>重击击退生物并造成伤害</t>
  </si>
  <si>
    <t>缤纷</t>
  </si>
  <si>
    <t>剪树叶时有几率掉落花朵和染料</t>
  </si>
  <si>
    <t>爆炸箭头</t>
  </si>
  <si>
    <t>箭头落地会造成几次爆炸</t>
  </si>
  <si>
    <t>痛贯天灵</t>
  </si>
  <si>
    <t>增加几点伤害</t>
  </si>
  <si>
    <t>渔夫奇遇</t>
  </si>
  <si>
    <t>钓鱼收杆时有几率额外获得1个鱼类</t>
  </si>
  <si>
    <t>爆炸魔法</t>
  </si>
  <si>
    <t>一剑</t>
  </si>
  <si>
    <t>对处于90%生命以上的玩家造成额外真实伤害</t>
  </si>
  <si>
    <t>连锁挖掘</t>
  </si>
  <si>
    <t>铲子</t>
  </si>
  <si>
    <t>一次多挖几个方块</t>
  </si>
  <si>
    <t>盾击</t>
  </si>
  <si>
    <t>超会心</t>
  </si>
  <si>
    <t>陶片透视</t>
  </si>
  <si>
    <t>均衡之刃</t>
  </si>
  <si>
    <t>疾驰</t>
  </si>
  <si>
    <t>减少冲刺的饥饿消耗</t>
  </si>
  <si>
    <t>巡航箭</t>
  </si>
  <si>
    <t>自动瞄准范围内的怪</t>
  </si>
  <si>
    <t>缓伤</t>
  </si>
  <si>
    <t>被攻击时获得20%生命上限和伤害吸收持续几秒</t>
  </si>
  <si>
    <t>中娅沙漏</t>
  </si>
  <si>
    <t>右键触发无敌金身无法移动持续几秒</t>
  </si>
  <si>
    <t>狂战之怒</t>
  </si>
  <si>
    <t>被攻击时获得速度加成</t>
  </si>
  <si>
    <t>果冻爱好者</t>
  </si>
  <si>
    <t>剑,斧,弓,弩</t>
  </si>
  <si>
    <t>对岩浆怪造成额外伤害</t>
  </si>
  <si>
    <t>剑士宝典</t>
  </si>
  <si>
    <t>有几率额外获得剑士经验和职业点</t>
  </si>
  <si>
    <t>流血</t>
  </si>
  <si>
    <t>有几率使对手流血,造成持续伤害</t>
  </si>
  <si>
    <t>绿</t>
  </si>
  <si>
    <t>暗无天日</t>
  </si>
  <si>
    <t>有几率使敌人失明</t>
  </si>
  <si>
    <t>农夫宝典</t>
  </si>
  <si>
    <t>有几率额外获得农夫经验和职业点</t>
  </si>
  <si>
    <t>神圣守护</t>
  </si>
  <si>
    <t>胸甲,护腿</t>
  </si>
  <si>
    <t>穿刺箭</t>
  </si>
  <si>
    <t>全部</t>
    <phoneticPr fontId="1" type="noConversion"/>
  </si>
  <si>
    <t>镐,剑,斧,刷子,铲子,锄,剪刀</t>
    <phoneticPr fontId="1" type="noConversion"/>
  </si>
  <si>
    <t>永久</t>
    <phoneticPr fontId="1" type="noConversion"/>
  </si>
  <si>
    <t>时运,地狱矿工,缤纷,灵火炼矿,幸运陶瓦,幸运羊毛,  幸运蛙鸣灯,幸运混凝土,幸运海晶石,幸运石英块</t>
    <phoneticPr fontId="1" type="noConversion"/>
  </si>
  <si>
    <t>对手每减少1%生命值，增加几点近战伤害</t>
    <phoneticPr fontId="1" type="noConversion"/>
  </si>
  <si>
    <t>三叉戟每飞过3方块增加几点额外伤害</t>
    <phoneticPr fontId="1" type="noConversion"/>
  </si>
  <si>
    <t>在雨天或水中右键蓄力向前冲刺</t>
    <phoneticPr fontId="1" type="noConversion"/>
  </si>
  <si>
    <t>永久</t>
  </si>
  <si>
    <t>冲刺箭羽</t>
  </si>
  <si>
    <t>冲刺时射箭增加额外伤害</t>
  </si>
  <si>
    <t>末影召唤</t>
  </si>
  <si>
    <t>召唤末影人为你战斗</t>
  </si>
  <si>
    <t>天罚</t>
  </si>
  <si>
    <t>增加对玩家的伤害</t>
  </si>
  <si>
    <t>生命窃取</t>
  </si>
  <si>
    <t>以少量造成的伤害治疗自身</t>
  </si>
  <si>
    <t>风之子</t>
  </si>
  <si>
    <t>手持三叉戟提升移动速度</t>
  </si>
  <si>
    <t>空间刺客</t>
  </si>
  <si>
    <t>用箭射击把对手向自身位置拉然后传送到对手所在位置</t>
  </si>
  <si>
    <t>铁傀儡召唤</t>
  </si>
  <si>
    <t>抛掷鸡蛋召唤两个铁傀儡为你战斗</t>
  </si>
  <si>
    <t>撕裂</t>
  </si>
  <si>
    <t>金蝉脱壳</t>
  </si>
  <si>
    <t>增加闪避率</t>
  </si>
  <si>
    <t>星闪</t>
  </si>
  <si>
    <t>雷神</t>
  </si>
  <si>
    <t>有几率向你对手释放3闪电</t>
  </si>
  <si>
    <t>人体火箭</t>
  </si>
  <si>
    <t>有几率不消耗烟花</t>
  </si>
  <si>
    <t>生命涌泉</t>
  </si>
  <si>
    <t>极速回复生命</t>
  </si>
  <si>
    <t>近破者</t>
  </si>
  <si>
    <t>弩箭射中目标距离越近伤害越高造成伤害同时给予目标击退</t>
  </si>
  <si>
    <t>增加闪避概率</t>
  </si>
  <si>
    <t>升级</t>
  </si>
  <si>
    <t>连锁收割</t>
  </si>
  <si>
    <t>一次性多采摘一些农作物</t>
  </si>
  <si>
    <t>活动肌肉</t>
  </si>
  <si>
    <t>斧刃</t>
  </si>
  <si>
    <t>锋利,浴血狂战</t>
  </si>
  <si>
    <t>9×9</t>
  </si>
  <si>
    <t>潜行时右键挖掘一个区域的方块</t>
  </si>
  <si>
    <t>矿物透视</t>
  </si>
  <si>
    <t>灵火炼矿</t>
  </si>
  <si>
    <t>自动熔炼矿物</t>
  </si>
  <si>
    <t>茁壮成长</t>
  </si>
  <si>
    <t>增加血量</t>
  </si>
  <si>
    <t>百步穿杨</t>
  </si>
  <si>
    <t>瘟疫蔓延</t>
  </si>
  <si>
    <t>你的三叉戟在降落时有几率生成一团毒云</t>
  </si>
  <si>
    <t>怒之领域</t>
  </si>
  <si>
    <t>幸运海晶灯</t>
  </si>
  <si>
    <t>挖掘石头时有几率掉落海晶灯</t>
  </si>
  <si>
    <t>幸运混凝土</t>
  </si>
  <si>
    <t>挖掘沙子/泥土时有几率掉落随机颜色混凝土</t>
  </si>
  <si>
    <t>幸运蛙鸣灯</t>
  </si>
  <si>
    <t>挖掘沙子/泥土时有几率掉落蛙鸣灯</t>
  </si>
  <si>
    <t>幸运羊毛</t>
  </si>
  <si>
    <t>剪树叶时有几率掉落随机颜色羊毛</t>
  </si>
  <si>
    <t>幸运陶瓦</t>
  </si>
  <si>
    <t>挖掘石头时有几率掉落随机颜色陶瓦</t>
  </si>
  <si>
    <t>幸运石英块</t>
  </si>
  <si>
    <t>挖掘下届岩时有几率掉落石英块</t>
  </si>
  <si>
    <t>神剑</t>
  </si>
  <si>
    <t>额外增加近战伤害</t>
  </si>
  <si>
    <t>爬行者杀手,末影终结,锋利,亡灵杀手,节肢杀手</t>
  </si>
  <si>
    <t>幸运矿钓</t>
  </si>
  <si>
    <t>钓鱼收杆时有几率随机获得原版矿物</t>
  </si>
  <si>
    <t>增加对boss的弓箭伤害</t>
  </si>
  <si>
    <t>力量,多重射击,箭术高手</t>
  </si>
  <si>
    <t>裂魂</t>
  </si>
  <si>
    <t>锋利,亡灵杀手,截肢杀手,屠夫,裁决,裂魂</t>
  </si>
  <si>
    <t>弹刀,屠夫,爬行者杀手,暗夜静默,穿刺,锋利,破甲,节肢杀手,致密,裂魂,裁决,神剑</t>
  </si>
  <si>
    <t>弹刀,屠夫,爬行者杀手,暗夜静默,血流不止,穿刺,亡灵杀手,节肢杀手,破甲,致密,斧刃,裂魂,破军,狂舞挥打,裁决,神剑</t>
  </si>
  <si>
    <t>弹刀,屠夫,爬行者杀手,暗夜静默,穿刺,亡灵杀手,锋利,破甲,致密,裂魂,裁决,神剑</t>
  </si>
  <si>
    <t>屠夫,暗夜静默,锋利,亡灵杀手,节肢杀手</t>
  </si>
  <si>
    <t>潮漩</t>
  </si>
  <si>
    <t>增加三叉戟近战和投掷的伤害</t>
  </si>
  <si>
    <t>万箭齐发</t>
  </si>
  <si>
    <t>有几率挖掘3×3区域</t>
  </si>
  <si>
    <t>一剑开门天</t>
  </si>
  <si>
    <t>增加近战伤害,但与其他所有附魔冲突</t>
  </si>
  <si>
    <t>其他附魔</t>
  </si>
  <si>
    <t>破军</t>
  </si>
  <si>
    <t>增加额外伤害</t>
  </si>
  <si>
    <t>幸运陶片</t>
  </si>
  <si>
    <t>考古时有几率随机掉落一个陶片</t>
  </si>
  <si>
    <t>大地守护</t>
  </si>
  <si>
    <t>获得持续几秒的生命恢复</t>
  </si>
  <si>
    <t>聚能弩</t>
  </si>
  <si>
    <t>增加弩伤害</t>
  </si>
  <si>
    <t>聚能弓</t>
  </si>
  <si>
    <t>增加弓伤害</t>
  </si>
  <si>
    <t>狂舞挥打</t>
  </si>
  <si>
    <t>浴血狂战,锋利</t>
  </si>
  <si>
    <t>完美防御</t>
  </si>
  <si>
    <t>格挡成功恢复一些生命</t>
  </si>
  <si>
    <t>裁决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</si>
</sst>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A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indexed="64"/>
      </bottom>
      <diagonal/>
    </border>
    <border>
      <left/>
      <right style="thin">
        <color indexed="64"/>
      </right>
      <top style="thick">
        <color auto="1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indexed="64"/>
      </bottom>
      <diagonal/>
    </border>
    <border>
      <left style="thin">
        <color indexed="64"/>
      </left>
      <right/>
      <top style="thick">
        <color auto="1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7" borderId="22" xfId="0" applyFill="1" applyBorder="1" applyAlignment="1">
      <alignment horizontal="center"/>
    </xf>
    <xf numFmtId="0" fontId="0" fillId="7" borderId="23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69900"/>
      <color rgb="FFCCFF99"/>
      <color rgb="FFFF0000"/>
      <color rgb="FFCC0000"/>
      <color rgb="FFFFCCCC"/>
      <color rgb="FFFF9999"/>
      <color rgb="FFFFFFCC"/>
      <color rgb="FFFFFF99"/>
      <color rgb="FFFFCC66"/>
      <color rgb="FFC4A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7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I1" sqref="I1:I1048576"/>
    </sheetView>
  </sheetViews>
  <sheetFormatPr defaultRowHeight="14.15" x14ac:dyDescent="0.35"/>
  <cols>
    <col min="1" max="1" width="9.2109375" style="5"/>
    <col min="2" max="2" width="22.35546875" style="39" customWidth="1"/>
    <col min="3" max="3" width="4.28515625" style="3" customWidth="1"/>
    <col min="4" max="4" width="6.5703125" style="4" customWidth="1"/>
    <col min="5" max="5" width="30.640625" style="32" customWidth="1"/>
    <col min="6" max="6" width="5.78515625" style="4" customWidth="1"/>
    <col min="7" max="7" width="3.85546875" style="3" customWidth="1"/>
    <col min="8" max="8" width="42.28515625" style="47" customWidth="1"/>
    <col min="9" max="9" width="29.35546875" customWidth="1"/>
  </cols>
  <sheetData>
    <row r="1" spans="1:11" ht="22.4" customHeight="1" thickTop="1" thickBot="1" x14ac:dyDescent="0.4">
      <c r="A1" s="80" t="s">
        <v>0</v>
      </c>
      <c r="B1" s="81" t="s">
        <v>4</v>
      </c>
      <c r="C1" s="82" t="s">
        <v>2</v>
      </c>
      <c r="D1" s="83" t="s">
        <v>1</v>
      </c>
      <c r="E1" s="84" t="s">
        <v>3</v>
      </c>
      <c r="F1" s="83" t="s">
        <v>53</v>
      </c>
      <c r="G1" s="83" t="s">
        <v>52</v>
      </c>
      <c r="H1" s="85" t="s">
        <v>17</v>
      </c>
      <c r="I1" s="76" t="s">
        <v>16</v>
      </c>
      <c r="J1" s="73" t="s">
        <v>66</v>
      </c>
      <c r="K1" s="74"/>
    </row>
    <row r="2" spans="1:11" s="11" customFormat="1" ht="24" customHeight="1" thickTop="1" x14ac:dyDescent="0.35">
      <c r="A2" s="86" t="s">
        <v>7</v>
      </c>
      <c r="B2" s="33" t="s">
        <v>9</v>
      </c>
      <c r="C2" s="8" t="s">
        <v>6</v>
      </c>
      <c r="D2" s="9">
        <v>6</v>
      </c>
      <c r="E2" s="26" t="s">
        <v>10</v>
      </c>
      <c r="F2" s="10">
        <f>SUMPRODUCT(D2,5)</f>
        <v>30</v>
      </c>
      <c r="G2" s="8"/>
      <c r="H2" s="41"/>
      <c r="I2" s="59" t="s">
        <v>15</v>
      </c>
    </row>
    <row r="3" spans="1:11" s="11" customFormat="1" ht="24" customHeight="1" x14ac:dyDescent="0.35">
      <c r="A3" s="87" t="s">
        <v>41</v>
      </c>
      <c r="B3" s="34" t="s">
        <v>45</v>
      </c>
      <c r="C3" s="8" t="s">
        <v>6</v>
      </c>
      <c r="D3" s="9">
        <v>6</v>
      </c>
      <c r="E3" s="27" t="s">
        <v>42</v>
      </c>
      <c r="F3" s="10">
        <f>SUMPRODUCT(D3,1)+3</f>
        <v>9</v>
      </c>
      <c r="G3" s="8"/>
      <c r="H3" s="42" t="s">
        <v>43</v>
      </c>
      <c r="I3" s="58" t="s">
        <v>20</v>
      </c>
    </row>
    <row r="4" spans="1:11" s="11" customFormat="1" ht="24" customHeight="1" x14ac:dyDescent="0.35">
      <c r="A4" s="87" t="s">
        <v>46</v>
      </c>
      <c r="B4" s="34" t="s">
        <v>47</v>
      </c>
      <c r="C4" s="8" t="s">
        <v>6</v>
      </c>
      <c r="D4" s="9">
        <v>6</v>
      </c>
      <c r="E4" s="27" t="s">
        <v>48</v>
      </c>
      <c r="F4" s="9" t="str">
        <f>CONCATENATE(SUMPRODUCT(D4,10),"%")</f>
        <v>60%</v>
      </c>
      <c r="G4" s="8"/>
      <c r="H4" s="42"/>
      <c r="I4" s="58" t="s">
        <v>54</v>
      </c>
    </row>
    <row r="5" spans="1:11" s="11" customFormat="1" ht="24" customHeight="1" x14ac:dyDescent="0.35">
      <c r="A5" s="87" t="s">
        <v>49</v>
      </c>
      <c r="B5" s="34" t="s">
        <v>44</v>
      </c>
      <c r="C5" s="8" t="s">
        <v>6</v>
      </c>
      <c r="D5" s="9">
        <v>6</v>
      </c>
      <c r="E5" s="27" t="s">
        <v>50</v>
      </c>
      <c r="F5" s="9">
        <f>SUMPRODUCT(D5,1)+3</f>
        <v>9</v>
      </c>
      <c r="G5" s="8"/>
      <c r="H5" s="42" t="s">
        <v>43</v>
      </c>
    </row>
    <row r="6" spans="1:11" s="11" customFormat="1" ht="24" customHeight="1" x14ac:dyDescent="0.35">
      <c r="A6" s="87" t="s">
        <v>51</v>
      </c>
      <c r="B6" s="34" t="s">
        <v>56</v>
      </c>
      <c r="C6" s="8" t="s">
        <v>6</v>
      </c>
      <c r="D6" s="9">
        <v>6</v>
      </c>
      <c r="E6" s="27" t="s">
        <v>55</v>
      </c>
      <c r="F6" s="9">
        <f>SUMPRODUCT(D6,2)</f>
        <v>12</v>
      </c>
      <c r="G6" s="8"/>
      <c r="H6" s="42" t="s">
        <v>57</v>
      </c>
    </row>
    <row r="7" spans="1:11" s="11" customFormat="1" ht="24" customHeight="1" x14ac:dyDescent="0.35">
      <c r="A7" s="87" t="s">
        <v>58</v>
      </c>
      <c r="B7" s="34" t="s">
        <v>56</v>
      </c>
      <c r="C7" s="8" t="s">
        <v>6</v>
      </c>
      <c r="D7" s="9">
        <v>6</v>
      </c>
      <c r="E7" s="27" t="s">
        <v>59</v>
      </c>
      <c r="F7" s="9">
        <f>SUMPRODUCT(D7,10)</f>
        <v>60</v>
      </c>
      <c r="G7" s="8">
        <f>200-SUMPRODUCT(D7,25)</f>
        <v>50</v>
      </c>
      <c r="H7" s="42"/>
    </row>
    <row r="8" spans="1:11" s="11" customFormat="1" ht="24" customHeight="1" x14ac:dyDescent="0.35">
      <c r="A8" s="87" t="s">
        <v>60</v>
      </c>
      <c r="B8" s="34" t="s">
        <v>19</v>
      </c>
      <c r="C8" s="8" t="s">
        <v>6</v>
      </c>
      <c r="D8" s="9">
        <v>6</v>
      </c>
      <c r="E8" s="27" t="s">
        <v>61</v>
      </c>
      <c r="F8" s="9" t="str">
        <f>CONCATENATE(SUMPRODUCT(D8,3),"%")</f>
        <v>18%</v>
      </c>
      <c r="G8" s="8"/>
      <c r="H8" s="42"/>
    </row>
    <row r="9" spans="1:11" s="11" customFormat="1" ht="24" customHeight="1" x14ac:dyDescent="0.35">
      <c r="A9" s="87" t="s">
        <v>62</v>
      </c>
      <c r="B9" s="34" t="s">
        <v>8</v>
      </c>
      <c r="C9" s="8" t="s">
        <v>6</v>
      </c>
      <c r="D9" s="9">
        <v>6</v>
      </c>
      <c r="E9" s="27" t="s">
        <v>63</v>
      </c>
      <c r="F9" s="9">
        <f>SUMPRODUCT(D9,1)</f>
        <v>6</v>
      </c>
      <c r="G9" s="8"/>
      <c r="H9" s="42"/>
    </row>
    <row r="10" spans="1:11" s="11" customFormat="1" ht="24" customHeight="1" x14ac:dyDescent="0.35">
      <c r="A10" s="87" t="s">
        <v>64</v>
      </c>
      <c r="B10" s="34" t="s">
        <v>65</v>
      </c>
      <c r="C10" s="8" t="s">
        <v>6</v>
      </c>
      <c r="D10" s="9">
        <v>6</v>
      </c>
      <c r="E10" s="27" t="str">
        <f>CONCATENATE("攻击敌人有",SUMPRODUCT(D10,10),"%","使敌人饥饿几秒")</f>
        <v>攻击敌人有60%使敌人饥饿几秒</v>
      </c>
      <c r="F10" s="9">
        <f>SUMPRODUCT(D10,1)</f>
        <v>6</v>
      </c>
      <c r="G10" s="8"/>
      <c r="H10" s="42" t="s">
        <v>100</v>
      </c>
    </row>
    <row r="11" spans="1:11" s="11" customFormat="1" ht="24" customHeight="1" x14ac:dyDescent="0.35">
      <c r="A11" s="87" t="s">
        <v>84</v>
      </c>
      <c r="B11" s="34" t="s">
        <v>116</v>
      </c>
      <c r="C11" s="8" t="s">
        <v>6</v>
      </c>
      <c r="D11" s="9">
        <v>6</v>
      </c>
      <c r="E11" s="27" t="s">
        <v>88</v>
      </c>
      <c r="F11" s="9">
        <f>SUMPRODUCT(D11,1)</f>
        <v>6</v>
      </c>
      <c r="G11" s="8"/>
      <c r="H11" s="42"/>
    </row>
    <row r="12" spans="1:11" s="11" customFormat="1" ht="24" customHeight="1" x14ac:dyDescent="0.35">
      <c r="A12" s="87" t="s">
        <v>85</v>
      </c>
      <c r="B12" s="34" t="s">
        <v>9</v>
      </c>
      <c r="C12" s="8" t="s">
        <v>6</v>
      </c>
      <c r="D12" s="9">
        <v>6</v>
      </c>
      <c r="E12" s="60" t="s">
        <v>89</v>
      </c>
      <c r="F12" s="9">
        <f>SUMPRODUCT(D12,1)</f>
        <v>6</v>
      </c>
      <c r="G12" s="8"/>
      <c r="H12" s="42"/>
    </row>
    <row r="13" spans="1:11" s="11" customFormat="1" ht="24" customHeight="1" x14ac:dyDescent="0.35">
      <c r="A13" s="87" t="s">
        <v>86</v>
      </c>
      <c r="B13" s="34" t="s">
        <v>47</v>
      </c>
      <c r="C13" s="8" t="s">
        <v>6</v>
      </c>
      <c r="D13" s="9">
        <v>6</v>
      </c>
      <c r="E13" s="27" t="s">
        <v>135</v>
      </c>
      <c r="F13" s="9" t="str">
        <f>CONCATENATE(SUMPRODUCT(D13,4),"%")</f>
        <v>24%</v>
      </c>
      <c r="G13" s="8"/>
      <c r="H13" s="42"/>
    </row>
    <row r="14" spans="1:11" s="11" customFormat="1" ht="24" customHeight="1" x14ac:dyDescent="0.35">
      <c r="A14" s="87" t="s">
        <v>87</v>
      </c>
      <c r="B14" s="34" t="s">
        <v>65</v>
      </c>
      <c r="C14" s="8" t="s">
        <v>6</v>
      </c>
      <c r="D14" s="9">
        <v>6</v>
      </c>
      <c r="E14" s="27" t="str">
        <f>CONCATENATE("攻击敌人有",SUMPRODUCT(D14,10),"%","使敌人反胃几秒")</f>
        <v>攻击敌人有60%使敌人反胃几秒</v>
      </c>
      <c r="F14" s="9">
        <f>SUMPRODUCT(D14,1)</f>
        <v>6</v>
      </c>
      <c r="G14" s="8"/>
      <c r="H14" s="42"/>
    </row>
    <row r="15" spans="1:11" s="11" customFormat="1" ht="24" customHeight="1" x14ac:dyDescent="0.35">
      <c r="A15" s="87" t="s">
        <v>90</v>
      </c>
      <c r="B15" s="34" t="s">
        <v>91</v>
      </c>
      <c r="C15" s="8" t="s">
        <v>6</v>
      </c>
      <c r="D15" s="9"/>
      <c r="E15" s="27" t="s">
        <v>92</v>
      </c>
      <c r="F15" s="9"/>
      <c r="G15" s="8"/>
      <c r="H15" s="42"/>
    </row>
    <row r="16" spans="1:11" s="11" customFormat="1" ht="24" customHeight="1" x14ac:dyDescent="0.35">
      <c r="A16" s="87" t="s">
        <v>93</v>
      </c>
      <c r="B16" s="34" t="s">
        <v>44</v>
      </c>
      <c r="C16" s="8" t="s">
        <v>6</v>
      </c>
      <c r="D16" s="9">
        <v>6</v>
      </c>
      <c r="E16" s="27" t="s">
        <v>94</v>
      </c>
      <c r="F16" s="9">
        <f>SUMPRODUCT(D16,1)+3</f>
        <v>9</v>
      </c>
      <c r="G16" s="8"/>
      <c r="H16" s="42" t="s">
        <v>95</v>
      </c>
    </row>
    <row r="17" spans="1:8" s="11" customFormat="1" ht="24" customHeight="1" x14ac:dyDescent="0.35">
      <c r="A17" s="87" t="s">
        <v>96</v>
      </c>
      <c r="B17" s="34" t="s">
        <v>44</v>
      </c>
      <c r="C17" s="8" t="s">
        <v>6</v>
      </c>
      <c r="D17" s="9">
        <v>6</v>
      </c>
      <c r="E17" s="27" t="s">
        <v>97</v>
      </c>
      <c r="F17" s="9">
        <f>SUMPRODUCT(D17,1)+3</f>
        <v>9</v>
      </c>
      <c r="G17" s="8"/>
      <c r="H17" s="42" t="s">
        <v>95</v>
      </c>
    </row>
    <row r="18" spans="1:8" s="11" customFormat="1" ht="24" customHeight="1" x14ac:dyDescent="0.35">
      <c r="A18" s="87" t="s">
        <v>98</v>
      </c>
      <c r="B18" s="34" t="s">
        <v>116</v>
      </c>
      <c r="C18" s="8" t="s">
        <v>6</v>
      </c>
      <c r="D18" s="9">
        <v>6</v>
      </c>
      <c r="E18" s="27" t="s">
        <v>99</v>
      </c>
      <c r="F18" s="9">
        <f>SUMPRODUCT(D18,1)+3</f>
        <v>9</v>
      </c>
      <c r="G18" s="8"/>
      <c r="H18" s="42" t="s">
        <v>119</v>
      </c>
    </row>
    <row r="19" spans="1:8" s="11" customFormat="1" ht="24" customHeight="1" x14ac:dyDescent="0.35">
      <c r="A19" s="87" t="s">
        <v>101</v>
      </c>
      <c r="B19" s="34" t="s">
        <v>102</v>
      </c>
      <c r="C19" s="8" t="s">
        <v>6</v>
      </c>
      <c r="D19" s="9">
        <v>6</v>
      </c>
      <c r="E19" s="27" t="s">
        <v>103</v>
      </c>
      <c r="F19" s="9" t="str">
        <f>CONCATENATE(SUMPRODUCT(D19,10),"%")</f>
        <v>60%</v>
      </c>
      <c r="G19" s="8"/>
      <c r="H19" s="42"/>
    </row>
    <row r="20" spans="1:8" s="11" customFormat="1" ht="24" customHeight="1" x14ac:dyDescent="0.35">
      <c r="A20" s="87" t="s">
        <v>104</v>
      </c>
      <c r="B20" s="34" t="s">
        <v>105</v>
      </c>
      <c r="C20" s="8" t="s">
        <v>6</v>
      </c>
      <c r="D20" s="9"/>
      <c r="E20" s="27" t="s">
        <v>106</v>
      </c>
      <c r="F20" s="9"/>
      <c r="G20" s="8"/>
      <c r="H20" s="42"/>
    </row>
    <row r="21" spans="1:8" s="11" customFormat="1" ht="24" customHeight="1" x14ac:dyDescent="0.35">
      <c r="A21" s="87" t="s">
        <v>107</v>
      </c>
      <c r="B21" s="34" t="s">
        <v>464</v>
      </c>
      <c r="C21" s="8" t="s">
        <v>6</v>
      </c>
      <c r="D21" s="9"/>
      <c r="E21" s="27" t="s">
        <v>108</v>
      </c>
      <c r="F21" s="9"/>
      <c r="G21" s="8"/>
      <c r="H21" s="42" t="s">
        <v>118</v>
      </c>
    </row>
    <row r="22" spans="1:8" s="11" customFormat="1" ht="24" customHeight="1" x14ac:dyDescent="0.35">
      <c r="A22" s="87" t="s">
        <v>109</v>
      </c>
      <c r="B22" s="34" t="s">
        <v>44</v>
      </c>
      <c r="C22" s="8" t="s">
        <v>6</v>
      </c>
      <c r="D22" s="9">
        <v>6</v>
      </c>
      <c r="E22" s="27" t="s">
        <v>110</v>
      </c>
      <c r="F22" s="9">
        <f>SUMPRODUCT(D22,1)+3</f>
        <v>9</v>
      </c>
      <c r="G22" s="8"/>
      <c r="H22" s="42" t="s">
        <v>95</v>
      </c>
    </row>
    <row r="23" spans="1:8" s="11" customFormat="1" ht="24" customHeight="1" x14ac:dyDescent="0.35">
      <c r="A23" s="87" t="s">
        <v>111</v>
      </c>
      <c r="B23" s="34" t="s">
        <v>44</v>
      </c>
      <c r="C23" s="8" t="s">
        <v>6</v>
      </c>
      <c r="D23" s="9">
        <v>6</v>
      </c>
      <c r="E23" s="27" t="s">
        <v>112</v>
      </c>
      <c r="F23" s="9">
        <f>SUMPRODUCT(D23,1)+3</f>
        <v>9</v>
      </c>
      <c r="G23" s="8"/>
      <c r="H23" s="42" t="s">
        <v>95</v>
      </c>
    </row>
    <row r="24" spans="1:8" s="11" customFormat="1" ht="24" customHeight="1" x14ac:dyDescent="0.35">
      <c r="A24" s="87" t="s">
        <v>113</v>
      </c>
      <c r="B24" s="34" t="s">
        <v>114</v>
      </c>
      <c r="C24" s="8" t="s">
        <v>6</v>
      </c>
      <c r="D24" s="9">
        <v>3</v>
      </c>
      <c r="E24" s="27" t="s">
        <v>115</v>
      </c>
      <c r="F24" s="9" t="e">
        <f>CONCATENATE(SUMPRODUCT(D24,),"%")</f>
        <v>#VALUE!</v>
      </c>
      <c r="G24" s="8"/>
      <c r="H24" s="42" t="s">
        <v>117</v>
      </c>
    </row>
    <row r="25" spans="1:8" s="11" customFormat="1" ht="24" customHeight="1" x14ac:dyDescent="0.35">
      <c r="A25" s="87" t="s">
        <v>120</v>
      </c>
      <c r="B25" s="34" t="s">
        <v>44</v>
      </c>
      <c r="C25" s="8" t="s">
        <v>6</v>
      </c>
      <c r="D25" s="9">
        <v>6</v>
      </c>
      <c r="E25" s="27" t="s">
        <v>121</v>
      </c>
      <c r="F25" s="9">
        <f>SUMPRODUCT(D25,1)+3</f>
        <v>9</v>
      </c>
      <c r="G25" s="8"/>
      <c r="H25" s="42" t="s">
        <v>95</v>
      </c>
    </row>
    <row r="26" spans="1:8" s="11" customFormat="1" ht="24" customHeight="1" x14ac:dyDescent="0.35">
      <c r="A26" s="87" t="s">
        <v>122</v>
      </c>
      <c r="B26" s="34" t="s">
        <v>44</v>
      </c>
      <c r="C26" s="8" t="s">
        <v>6</v>
      </c>
      <c r="D26" s="9">
        <v>6</v>
      </c>
      <c r="E26" s="27" t="s">
        <v>123</v>
      </c>
      <c r="F26" s="9">
        <f>SUMPRODUCT(D26,1)+3</f>
        <v>9</v>
      </c>
      <c r="G26" s="8"/>
      <c r="H26" s="42" t="s">
        <v>95</v>
      </c>
    </row>
    <row r="27" spans="1:8" s="11" customFormat="1" ht="24" customHeight="1" x14ac:dyDescent="0.35">
      <c r="A27" s="87" t="s">
        <v>124</v>
      </c>
      <c r="B27" s="34" t="s">
        <v>91</v>
      </c>
      <c r="C27" s="8" t="s">
        <v>6</v>
      </c>
      <c r="D27" s="9">
        <v>6</v>
      </c>
      <c r="E27" s="27" t="s">
        <v>125</v>
      </c>
      <c r="F27" s="9" t="str">
        <f>CONCATENATE(SUMPRODUCT(D27,3),"%")</f>
        <v>18%</v>
      </c>
      <c r="G27" s="8"/>
      <c r="H27" s="42"/>
    </row>
    <row r="28" spans="1:8" s="11" customFormat="1" ht="24" customHeight="1" x14ac:dyDescent="0.35">
      <c r="A28" s="87" t="s">
        <v>126</v>
      </c>
      <c r="B28" s="34" t="s">
        <v>127</v>
      </c>
      <c r="C28" s="8" t="s">
        <v>6</v>
      </c>
      <c r="D28" s="9">
        <v>6</v>
      </c>
      <c r="E28" s="27" t="s">
        <v>134</v>
      </c>
      <c r="F28" s="9" t="str">
        <f>CONCATENATE(SUMPRODUCT(D28,4),"%")</f>
        <v>24%</v>
      </c>
      <c r="G28" s="8"/>
      <c r="H28" s="42"/>
    </row>
    <row r="29" spans="1:8" s="11" customFormat="1" ht="24" customHeight="1" x14ac:dyDescent="0.35">
      <c r="A29" s="87" t="s">
        <v>128</v>
      </c>
      <c r="B29" s="34" t="s">
        <v>129</v>
      </c>
      <c r="C29" s="8" t="s">
        <v>6</v>
      </c>
      <c r="D29" s="9">
        <v>6</v>
      </c>
      <c r="E29" s="27" t="s">
        <v>133</v>
      </c>
      <c r="F29" s="9" t="str">
        <f>CONCATENATE(SUMPRODUCT(D29,4),"%")</f>
        <v>24%</v>
      </c>
      <c r="G29" s="8"/>
      <c r="H29" s="42"/>
    </row>
    <row r="30" spans="1:8" s="11" customFormat="1" ht="24" customHeight="1" x14ac:dyDescent="0.35">
      <c r="A30" s="87" t="s">
        <v>130</v>
      </c>
      <c r="B30" s="34" t="s">
        <v>129</v>
      </c>
      <c r="C30" s="8" t="s">
        <v>6</v>
      </c>
      <c r="D30" s="9">
        <v>6</v>
      </c>
      <c r="E30" s="27" t="s">
        <v>131</v>
      </c>
      <c r="F30" s="9" t="str">
        <f>CONCATENATE(SUMPRODUCT(D30,8),"%")</f>
        <v>48%</v>
      </c>
      <c r="G30" s="8"/>
      <c r="H30" s="42"/>
    </row>
    <row r="31" spans="1:8" s="11" customFormat="1" ht="24" customHeight="1" x14ac:dyDescent="0.35">
      <c r="A31" s="87" t="s">
        <v>132</v>
      </c>
      <c r="B31" s="34" t="s">
        <v>91</v>
      </c>
      <c r="C31" s="8" t="s">
        <v>6</v>
      </c>
      <c r="D31" s="9">
        <v>6</v>
      </c>
      <c r="E31" s="27" t="s">
        <v>136</v>
      </c>
      <c r="F31" s="9" t="str">
        <f>CONCATENATE(SUMPRODUCT(D31,4),"%")</f>
        <v>24%</v>
      </c>
      <c r="G31" s="8"/>
      <c r="H31" s="42"/>
    </row>
    <row r="32" spans="1:8" s="11" customFormat="1" ht="24" customHeight="1" x14ac:dyDescent="0.35">
      <c r="A32" s="87" t="s">
        <v>137</v>
      </c>
      <c r="B32" s="34" t="s">
        <v>91</v>
      </c>
      <c r="C32" s="8" t="s">
        <v>6</v>
      </c>
      <c r="D32" s="9">
        <v>6</v>
      </c>
      <c r="E32" s="27" t="s">
        <v>138</v>
      </c>
      <c r="F32" s="9" t="str">
        <f>CONCATENATE(SUMPRODUCT(D32,5),"%")</f>
        <v>30%</v>
      </c>
      <c r="G32" s="8" t="s">
        <v>470</v>
      </c>
      <c r="H32" s="42"/>
    </row>
    <row r="33" spans="1:8" s="11" customFormat="1" ht="24" customHeight="1" x14ac:dyDescent="0.35">
      <c r="A33" s="87" t="s">
        <v>139</v>
      </c>
      <c r="B33" s="34" t="s">
        <v>127</v>
      </c>
      <c r="C33" s="8" t="s">
        <v>6</v>
      </c>
      <c r="D33" s="9">
        <v>6</v>
      </c>
      <c r="E33" s="27" t="str">
        <f>CONCATENATE("每造成一颗心的伤害会使攻击者中毒",SUMPRODUCT(D33,0.5),"秒,最多多中毒几秒")</f>
        <v>每造成一颗心的伤害会使攻击者中毒3秒,最多多中毒几秒</v>
      </c>
      <c r="F33" s="9">
        <f>SUMPRODUCT(D33,1)+4</f>
        <v>10</v>
      </c>
      <c r="G33" s="8"/>
      <c r="H33" s="42" t="s">
        <v>100</v>
      </c>
    </row>
    <row r="34" spans="1:8" s="11" customFormat="1" ht="24" customHeight="1" x14ac:dyDescent="0.35">
      <c r="A34" s="87" t="s">
        <v>140</v>
      </c>
      <c r="B34" s="34" t="s">
        <v>116</v>
      </c>
      <c r="C34" s="8" t="s">
        <v>6</v>
      </c>
      <c r="D34" s="9">
        <v>6</v>
      </c>
      <c r="E34" s="27" t="s">
        <v>141</v>
      </c>
      <c r="F34" s="9">
        <f>SUMPRODUCT(D34,1)+3</f>
        <v>9</v>
      </c>
      <c r="G34" s="8"/>
      <c r="H34" s="42"/>
    </row>
    <row r="35" spans="1:8" s="11" customFormat="1" ht="24" customHeight="1" x14ac:dyDescent="0.35">
      <c r="A35" s="87" t="s">
        <v>142</v>
      </c>
      <c r="B35" s="34" t="s">
        <v>44</v>
      </c>
      <c r="C35" s="8" t="s">
        <v>6</v>
      </c>
      <c r="D35" s="9">
        <v>6</v>
      </c>
      <c r="E35" s="27" t="s">
        <v>143</v>
      </c>
      <c r="F35" s="9">
        <f>SUMPRODUCT(D35,1)+3</f>
        <v>9</v>
      </c>
      <c r="G35" s="8"/>
      <c r="H35" s="42" t="s">
        <v>95</v>
      </c>
    </row>
    <row r="36" spans="1:8" s="11" customFormat="1" ht="24" customHeight="1" x14ac:dyDescent="0.35">
      <c r="A36" s="87" t="s">
        <v>144</v>
      </c>
      <c r="B36" s="34" t="s">
        <v>145</v>
      </c>
      <c r="C36" s="8" t="s">
        <v>6</v>
      </c>
      <c r="D36" s="9">
        <v>3</v>
      </c>
      <c r="E36" s="27" t="s">
        <v>146</v>
      </c>
      <c r="F36" s="9" t="str">
        <f>CONCATENATE(SUMPRODUCT(D36,15),"%")</f>
        <v>45%</v>
      </c>
      <c r="G36" s="8"/>
      <c r="H36" s="42"/>
    </row>
    <row r="37" spans="1:8" s="11" customFormat="1" ht="24" customHeight="1" x14ac:dyDescent="0.35">
      <c r="A37" s="87" t="s">
        <v>147</v>
      </c>
      <c r="B37" s="34" t="s">
        <v>145</v>
      </c>
      <c r="C37" s="8" t="s">
        <v>6</v>
      </c>
      <c r="D37" s="9">
        <v>3</v>
      </c>
      <c r="E37" s="27" t="s">
        <v>148</v>
      </c>
      <c r="F37" s="9" t="str">
        <f>CONCATENATE(SUMPRODUCT(D37,15),"%")</f>
        <v>45%</v>
      </c>
      <c r="G37" s="8"/>
      <c r="H37" s="42"/>
    </row>
    <row r="38" spans="1:8" s="11" customFormat="1" ht="24" customHeight="1" x14ac:dyDescent="0.35">
      <c r="A38" s="87" t="s">
        <v>149</v>
      </c>
      <c r="B38" s="34" t="s">
        <v>116</v>
      </c>
      <c r="C38" s="8" t="s">
        <v>6</v>
      </c>
      <c r="D38" s="9">
        <v>3</v>
      </c>
      <c r="E38" s="27" t="s">
        <v>150</v>
      </c>
      <c r="F38" s="9" t="str">
        <f>CONCATENATE(SUMPRODUCT(D38,15),"%")</f>
        <v>45%</v>
      </c>
      <c r="G38" s="8"/>
      <c r="H38" s="42"/>
    </row>
    <row r="39" spans="1:8" s="11" customFormat="1" ht="24" customHeight="1" x14ac:dyDescent="0.35">
      <c r="A39" s="87" t="s">
        <v>151</v>
      </c>
      <c r="B39" s="34" t="s">
        <v>116</v>
      </c>
      <c r="C39" s="8" t="s">
        <v>6</v>
      </c>
      <c r="D39" s="9">
        <v>6</v>
      </c>
      <c r="E39" s="27" t="s">
        <v>152</v>
      </c>
      <c r="F39" s="9">
        <f>SUMPRODUCT(D39,1)</f>
        <v>6</v>
      </c>
      <c r="G39" s="8"/>
      <c r="H39" s="42"/>
    </row>
    <row r="40" spans="1:8" s="11" customFormat="1" ht="24" customHeight="1" x14ac:dyDescent="0.35">
      <c r="A40" s="87" t="s">
        <v>153</v>
      </c>
      <c r="B40" s="34" t="s">
        <v>44</v>
      </c>
      <c r="C40" s="8" t="s">
        <v>6</v>
      </c>
      <c r="D40" s="9">
        <v>6</v>
      </c>
      <c r="E40" s="27" t="s">
        <v>154</v>
      </c>
      <c r="F40" s="9">
        <f>SUMPRODUCT(D40,1)+3</f>
        <v>9</v>
      </c>
      <c r="G40" s="8"/>
      <c r="H40" s="42" t="s">
        <v>95</v>
      </c>
    </row>
    <row r="41" spans="1:8" s="11" customFormat="1" ht="24" customHeight="1" x14ac:dyDescent="0.35">
      <c r="A41" s="87" t="s">
        <v>155</v>
      </c>
      <c r="B41" s="34" t="s">
        <v>44</v>
      </c>
      <c r="C41" s="8" t="s">
        <v>6</v>
      </c>
      <c r="D41" s="9">
        <v>6</v>
      </c>
      <c r="E41" s="27" t="s">
        <v>156</v>
      </c>
      <c r="F41" s="9">
        <f>SUMPRODUCT(D41,1)+3</f>
        <v>9</v>
      </c>
      <c r="G41" s="8"/>
      <c r="H41" s="42" t="s">
        <v>95</v>
      </c>
    </row>
    <row r="42" spans="1:8" s="11" customFormat="1" ht="24" customHeight="1" x14ac:dyDescent="0.35">
      <c r="A42" s="87" t="s">
        <v>157</v>
      </c>
      <c r="B42" s="34" t="s">
        <v>105</v>
      </c>
      <c r="C42" s="8" t="s">
        <v>6</v>
      </c>
      <c r="D42" s="9"/>
      <c r="E42" s="27" t="s">
        <v>158</v>
      </c>
      <c r="F42" s="9"/>
      <c r="G42" s="8"/>
      <c r="H42" s="42"/>
    </row>
    <row r="43" spans="1:8" s="11" customFormat="1" ht="24" customHeight="1" x14ac:dyDescent="0.35">
      <c r="A43" s="87" t="s">
        <v>159</v>
      </c>
      <c r="B43" s="34" t="s">
        <v>116</v>
      </c>
      <c r="C43" s="8" t="s">
        <v>6</v>
      </c>
      <c r="D43" s="9"/>
      <c r="E43" s="27" t="s">
        <v>160</v>
      </c>
      <c r="F43" s="9"/>
      <c r="G43" s="8"/>
      <c r="H43" s="42" t="s">
        <v>161</v>
      </c>
    </row>
    <row r="44" spans="1:8" s="11" customFormat="1" ht="24" customHeight="1" x14ac:dyDescent="0.35">
      <c r="A44" s="87" t="s">
        <v>162</v>
      </c>
      <c r="B44" s="34" t="s">
        <v>163</v>
      </c>
      <c r="C44" s="8" t="s">
        <v>6</v>
      </c>
      <c r="D44" s="9"/>
      <c r="E44" s="27" t="s">
        <v>164</v>
      </c>
      <c r="F44" s="9"/>
      <c r="G44" s="8"/>
      <c r="H44" s="42"/>
    </row>
    <row r="45" spans="1:8" s="11" customFormat="1" ht="24" customHeight="1" x14ac:dyDescent="0.35">
      <c r="A45" s="87" t="s">
        <v>165</v>
      </c>
      <c r="B45" s="34" t="s">
        <v>166</v>
      </c>
      <c r="C45" s="8" t="s">
        <v>6</v>
      </c>
      <c r="D45" s="9">
        <v>4</v>
      </c>
      <c r="E45" s="27" t="str">
        <f>CONCATENATE("减少火焰伤害和",SUMPRODUCT(D45,15),"%","燃烧时间")</f>
        <v>减少火焰伤害和60%燃烧时间</v>
      </c>
      <c r="F45" s="9" t="str">
        <f>CONCATENATE(SUMPRODUCT(D45,8),"%")</f>
        <v>32%</v>
      </c>
      <c r="G45" s="8"/>
      <c r="H45" s="42" t="s">
        <v>167</v>
      </c>
    </row>
    <row r="46" spans="1:8" s="11" customFormat="1" ht="24" customHeight="1" x14ac:dyDescent="0.35">
      <c r="A46" s="87" t="s">
        <v>168</v>
      </c>
      <c r="B46" s="34" t="s">
        <v>463</v>
      </c>
      <c r="C46" s="8" t="s">
        <v>6</v>
      </c>
      <c r="D46" s="9">
        <v>3</v>
      </c>
      <c r="E46" s="27" t="s">
        <v>170</v>
      </c>
      <c r="F46" s="9">
        <f>SUMPRODUCT(D46,1)+1</f>
        <v>4</v>
      </c>
      <c r="G46" s="8"/>
      <c r="H46" s="42"/>
    </row>
    <row r="47" spans="1:8" s="11" customFormat="1" ht="24" customHeight="1" x14ac:dyDescent="0.35">
      <c r="A47" s="87" t="s">
        <v>171</v>
      </c>
      <c r="B47" s="34" t="s">
        <v>91</v>
      </c>
      <c r="C47" s="8" t="s">
        <v>6</v>
      </c>
      <c r="D47" s="9">
        <v>4</v>
      </c>
      <c r="E47" s="27" t="s">
        <v>172</v>
      </c>
      <c r="F47" s="9" t="str">
        <f>CONCATENATE(SUMPRODUCT(D47,12),"%")</f>
        <v>48%</v>
      </c>
      <c r="G47" s="8"/>
      <c r="H47" s="42"/>
    </row>
    <row r="48" spans="1:8" s="11" customFormat="1" ht="24" customHeight="1" x14ac:dyDescent="0.35">
      <c r="A48" s="87" t="s">
        <v>173</v>
      </c>
      <c r="B48" s="34" t="s">
        <v>129</v>
      </c>
      <c r="C48" s="8" t="s">
        <v>6</v>
      </c>
      <c r="D48" s="9"/>
      <c r="E48" s="27" t="s">
        <v>176</v>
      </c>
      <c r="F48" s="9"/>
      <c r="G48" s="8"/>
      <c r="H48" s="42"/>
    </row>
    <row r="49" spans="1:8" s="11" customFormat="1" ht="24" customHeight="1" x14ac:dyDescent="0.35">
      <c r="A49" s="87" t="s">
        <v>174</v>
      </c>
      <c r="B49" s="34" t="s">
        <v>114</v>
      </c>
      <c r="C49" s="8" t="s">
        <v>6</v>
      </c>
      <c r="D49" s="9"/>
      <c r="E49" s="27" t="s">
        <v>175</v>
      </c>
      <c r="F49" s="9"/>
      <c r="G49" s="8"/>
      <c r="H49" s="42" t="s">
        <v>177</v>
      </c>
    </row>
    <row r="50" spans="1:8" s="11" customFormat="1" ht="24" customHeight="1" x14ac:dyDescent="0.35">
      <c r="A50" s="87" t="s">
        <v>178</v>
      </c>
      <c r="B50" s="34" t="s">
        <v>166</v>
      </c>
      <c r="C50" s="8" t="s">
        <v>6</v>
      </c>
      <c r="D50" s="9">
        <v>4</v>
      </c>
      <c r="E50" s="27" t="s">
        <v>179</v>
      </c>
      <c r="F50" s="9" t="str">
        <f>CONCATENATE(SUMPRODUCT(D50,8),"%")</f>
        <v>32%</v>
      </c>
      <c r="G50" s="8"/>
      <c r="H50" s="42" t="s">
        <v>180</v>
      </c>
    </row>
    <row r="51" spans="1:8" s="11" customFormat="1" ht="24" customHeight="1" x14ac:dyDescent="0.35">
      <c r="A51" s="87" t="s">
        <v>181</v>
      </c>
      <c r="B51" s="34" t="s">
        <v>182</v>
      </c>
      <c r="C51" s="8" t="s">
        <v>6</v>
      </c>
      <c r="D51" s="9">
        <v>2</v>
      </c>
      <c r="E51" s="27" t="str">
        <f>CONCATENATE("将对手点燃,共造成",SUMPRODUCT(D51,4)-1,"%","的伤害")</f>
        <v>将对手点燃,共造成7%的伤害</v>
      </c>
      <c r="F51" s="9">
        <f t="shared" ref="F51" si="0">SUMPRODUCT(D51,2)</f>
        <v>4</v>
      </c>
      <c r="G51" s="8"/>
      <c r="H51" s="42"/>
    </row>
    <row r="52" spans="1:8" s="11" customFormat="1" ht="24" customHeight="1" x14ac:dyDescent="0.35">
      <c r="A52" s="87" t="s">
        <v>183</v>
      </c>
      <c r="B52" s="34" t="s">
        <v>184</v>
      </c>
      <c r="C52" s="8" t="s">
        <v>6</v>
      </c>
      <c r="D52" s="9"/>
      <c r="E52" s="27" t="s">
        <v>185</v>
      </c>
      <c r="F52" s="9"/>
      <c r="G52" s="8"/>
      <c r="H52" s="42" t="s">
        <v>186</v>
      </c>
    </row>
    <row r="53" spans="1:8" s="11" customFormat="1" ht="24" customHeight="1" x14ac:dyDescent="0.35">
      <c r="A53" s="87" t="s">
        <v>187</v>
      </c>
      <c r="B53" s="34" t="s">
        <v>91</v>
      </c>
      <c r="C53" s="8" t="s">
        <v>6</v>
      </c>
      <c r="D53" s="9">
        <v>2</v>
      </c>
      <c r="E53" s="27" t="s">
        <v>188</v>
      </c>
      <c r="F53" s="9">
        <f>SUMPRODUCT(D53,1)+2</f>
        <v>4</v>
      </c>
      <c r="G53" s="8"/>
      <c r="H53" s="42" t="s">
        <v>189</v>
      </c>
    </row>
    <row r="54" spans="1:8" s="11" customFormat="1" ht="24" customHeight="1" x14ac:dyDescent="0.35">
      <c r="A54" s="87" t="s">
        <v>190</v>
      </c>
      <c r="B54" s="34" t="s">
        <v>91</v>
      </c>
      <c r="C54" s="8" t="s">
        <v>6</v>
      </c>
      <c r="D54" s="9"/>
      <c r="E54" s="27" t="s">
        <v>191</v>
      </c>
      <c r="F54" s="9"/>
      <c r="G54" s="8"/>
      <c r="H54" s="42"/>
    </row>
    <row r="55" spans="1:8" s="11" customFormat="1" ht="24" customHeight="1" x14ac:dyDescent="0.35">
      <c r="A55" s="87" t="s">
        <v>192</v>
      </c>
      <c r="B55" s="34" t="s">
        <v>114</v>
      </c>
      <c r="C55" s="8" t="s">
        <v>6</v>
      </c>
      <c r="D55" s="9"/>
      <c r="E55" s="27" t="s">
        <v>193</v>
      </c>
      <c r="F55" s="9"/>
      <c r="G55" s="8"/>
      <c r="H55" s="42"/>
    </row>
    <row r="56" spans="1:8" s="11" customFormat="1" ht="24" customHeight="1" x14ac:dyDescent="0.35">
      <c r="A56" s="87" t="s">
        <v>194</v>
      </c>
      <c r="B56" s="34" t="s">
        <v>166</v>
      </c>
      <c r="C56" s="8" t="s">
        <v>6</v>
      </c>
      <c r="D56" s="9"/>
      <c r="E56" s="27" t="s">
        <v>195</v>
      </c>
      <c r="F56" s="9"/>
      <c r="G56" s="8"/>
      <c r="H56" s="42"/>
    </row>
    <row r="57" spans="1:8" s="11" customFormat="1" ht="24" customHeight="1" x14ac:dyDescent="0.35">
      <c r="A57" s="87" t="s">
        <v>194</v>
      </c>
      <c r="B57" s="34" t="s">
        <v>169</v>
      </c>
      <c r="C57" s="8" t="s">
        <v>6</v>
      </c>
      <c r="D57" s="9"/>
      <c r="E57" s="27" t="s">
        <v>196</v>
      </c>
      <c r="F57" s="9"/>
      <c r="G57" s="8"/>
      <c r="H57" s="42"/>
    </row>
    <row r="58" spans="1:8" s="11" customFormat="1" ht="24" customHeight="1" x14ac:dyDescent="0.35">
      <c r="A58" s="87" t="s">
        <v>197</v>
      </c>
      <c r="B58" s="34" t="s">
        <v>166</v>
      </c>
      <c r="C58" s="8" t="s">
        <v>6</v>
      </c>
      <c r="D58" s="9">
        <v>4</v>
      </c>
      <c r="E58" s="27" t="str">
        <f>CONCATENATE("减少爆炸伤害并减少",SUMPRODUCT(D58,15),"%","的爆炸击退")</f>
        <v>减少爆炸伤害并减少60%的爆炸击退</v>
      </c>
      <c r="F58" s="9" t="str">
        <f>CONCATENATE(SUMPRODUCT(D58,8),"%")</f>
        <v>32%</v>
      </c>
      <c r="G58" s="8"/>
      <c r="H58" s="42" t="s">
        <v>198</v>
      </c>
    </row>
    <row r="59" spans="1:8" s="11" customFormat="1" ht="24" customHeight="1" x14ac:dyDescent="0.35">
      <c r="A59" s="88" t="s">
        <v>82</v>
      </c>
      <c r="B59" s="35" t="s">
        <v>47</v>
      </c>
      <c r="C59" s="12" t="s">
        <v>11</v>
      </c>
      <c r="D59" s="13">
        <v>6</v>
      </c>
      <c r="E59" s="28" t="s">
        <v>83</v>
      </c>
      <c r="F59" s="13" t="str">
        <f>+IF(D59&lt;3,"1",IF(D59&lt;6,"2","3"))</f>
        <v>3</v>
      </c>
      <c r="G59" s="14">
        <v>100</v>
      </c>
      <c r="H59" s="43"/>
    </row>
    <row r="60" spans="1:8" s="11" customFormat="1" ht="24" customHeight="1" x14ac:dyDescent="0.35">
      <c r="A60" s="88" t="s">
        <v>12</v>
      </c>
      <c r="B60" s="35" t="s">
        <v>13</v>
      </c>
      <c r="C60" s="12" t="s">
        <v>11</v>
      </c>
      <c r="D60" s="13">
        <v>6</v>
      </c>
      <c r="E60" s="28" t="s">
        <v>14</v>
      </c>
      <c r="F60" s="13">
        <f>5+SUMPRODUCT(D60,2)</f>
        <v>17</v>
      </c>
      <c r="G60" s="14">
        <f>38-SUMPRODUCT(D60,3)</f>
        <v>20</v>
      </c>
      <c r="H60" s="43"/>
    </row>
    <row r="61" spans="1:8" s="11" customFormat="1" ht="24" customHeight="1" x14ac:dyDescent="0.35">
      <c r="A61" s="88" t="s">
        <v>18</v>
      </c>
      <c r="B61" s="35" t="s">
        <v>19</v>
      </c>
      <c r="C61" s="12" t="s">
        <v>11</v>
      </c>
      <c r="D61" s="13">
        <v>6</v>
      </c>
      <c r="E61" s="28" t="s">
        <v>26</v>
      </c>
      <c r="F61" s="13">
        <f>SUMPRODUCT(D61,0.2)</f>
        <v>1.2000000000000002</v>
      </c>
      <c r="G61" s="14"/>
      <c r="H61" s="43"/>
    </row>
    <row r="62" spans="1:8" s="11" customFormat="1" ht="24" customHeight="1" x14ac:dyDescent="0.35">
      <c r="A62" s="88" t="s">
        <v>462</v>
      </c>
      <c r="B62" s="35" t="s">
        <v>8</v>
      </c>
      <c r="C62" s="12" t="s">
        <v>11</v>
      </c>
      <c r="D62" s="13">
        <v>6</v>
      </c>
      <c r="E62" s="28" t="s">
        <v>199</v>
      </c>
      <c r="F62" s="13">
        <f>SUMPRODUCT(D62,1)</f>
        <v>6</v>
      </c>
      <c r="G62" s="14"/>
      <c r="H62" s="43"/>
    </row>
    <row r="63" spans="1:8" s="11" customFormat="1" ht="24" customHeight="1" x14ac:dyDescent="0.35">
      <c r="A63" s="88" t="s">
        <v>200</v>
      </c>
      <c r="B63" s="35" t="s">
        <v>201</v>
      </c>
      <c r="C63" s="12" t="s">
        <v>11</v>
      </c>
      <c r="D63" s="13">
        <v>6</v>
      </c>
      <c r="E63" s="28" t="s">
        <v>202</v>
      </c>
      <c r="F63" s="13">
        <f>SUMPRODUCT(D63,1)+5</f>
        <v>11</v>
      </c>
      <c r="G63" s="14">
        <f>60-SUMPRODUCT(D63,4)</f>
        <v>36</v>
      </c>
      <c r="H63" s="43"/>
    </row>
    <row r="64" spans="1:8" s="11" customFormat="1" ht="24" customHeight="1" x14ac:dyDescent="0.35">
      <c r="A64" s="88" t="s">
        <v>203</v>
      </c>
      <c r="B64" s="35" t="s">
        <v>204</v>
      </c>
      <c r="C64" s="12" t="s">
        <v>11</v>
      </c>
      <c r="D64" s="13"/>
      <c r="E64" s="28" t="s">
        <v>205</v>
      </c>
      <c r="F64" s="13"/>
      <c r="G64" s="13" t="s">
        <v>465</v>
      </c>
      <c r="H64" s="43"/>
    </row>
    <row r="65" spans="1:8" s="11" customFormat="1" ht="24" customHeight="1" x14ac:dyDescent="0.35">
      <c r="A65" s="88" t="s">
        <v>206</v>
      </c>
      <c r="B65" s="35" t="s">
        <v>207</v>
      </c>
      <c r="C65" s="12" t="s">
        <v>11</v>
      </c>
      <c r="D65" s="13">
        <v>6</v>
      </c>
      <c r="E65" s="28" t="s">
        <v>208</v>
      </c>
      <c r="F65" s="13" t="str">
        <f>CONCATENATE(SUMPRODUCT(D65,5)+20,"%")</f>
        <v>50%</v>
      </c>
      <c r="G65" s="14"/>
      <c r="H65" s="43"/>
    </row>
    <row r="66" spans="1:8" s="11" customFormat="1" ht="24" customHeight="1" x14ac:dyDescent="0.35">
      <c r="A66" s="88" t="s">
        <v>209</v>
      </c>
      <c r="B66" s="35" t="s">
        <v>166</v>
      </c>
      <c r="C66" s="12" t="s">
        <v>11</v>
      </c>
      <c r="D66" s="13">
        <v>6</v>
      </c>
      <c r="E66" s="28" t="s">
        <v>210</v>
      </c>
      <c r="F66" s="13">
        <f>SUMPRODUCT(D66,10)</f>
        <v>60</v>
      </c>
      <c r="G66" s="14">
        <f>200-SUMPRODUCT(D66,25)</f>
        <v>50</v>
      </c>
      <c r="H66" s="43"/>
    </row>
    <row r="67" spans="1:8" s="11" customFormat="1" ht="24" customHeight="1" x14ac:dyDescent="0.35">
      <c r="A67" s="88" t="s">
        <v>211</v>
      </c>
      <c r="B67" s="35" t="s">
        <v>114</v>
      </c>
      <c r="C67" s="12" t="s">
        <v>11</v>
      </c>
      <c r="D67" s="13">
        <v>6</v>
      </c>
      <c r="E67" s="28" t="s">
        <v>212</v>
      </c>
      <c r="F67" s="13" t="str">
        <f>CONCATENATE(SUMPRODUCT(D67,4),"%")</f>
        <v>24%</v>
      </c>
      <c r="G67" s="14"/>
      <c r="H67" s="43" t="s">
        <v>535</v>
      </c>
    </row>
    <row r="68" spans="1:8" s="11" customFormat="1" ht="24" customHeight="1" x14ac:dyDescent="0.35">
      <c r="A68" s="88" t="s">
        <v>213</v>
      </c>
      <c r="B68" s="35" t="s">
        <v>201</v>
      </c>
      <c r="C68" s="12" t="s">
        <v>11</v>
      </c>
      <c r="D68" s="13">
        <v>6</v>
      </c>
      <c r="E68" s="28" t="s">
        <v>214</v>
      </c>
      <c r="F68" s="13" t="str">
        <f>CONCATENATE(SUMPRODUCT(D68,50)+100,"%")</f>
        <v>400%</v>
      </c>
      <c r="G68" s="14"/>
      <c r="H68" s="43"/>
    </row>
    <row r="69" spans="1:8" s="11" customFormat="1" ht="24" customHeight="1" x14ac:dyDescent="0.35">
      <c r="A69" s="88" t="s">
        <v>215</v>
      </c>
      <c r="B69" s="35" t="s">
        <v>184</v>
      </c>
      <c r="C69" s="12" t="s">
        <v>11</v>
      </c>
      <c r="D69" s="13">
        <v>6</v>
      </c>
      <c r="E69" s="28" t="s">
        <v>216</v>
      </c>
      <c r="F69" s="13"/>
      <c r="G69" s="14">
        <f>300-SUMPRODUCT(D69,30)</f>
        <v>120</v>
      </c>
      <c r="H69" s="43" t="s">
        <v>183</v>
      </c>
    </row>
    <row r="70" spans="1:8" s="11" customFormat="1" ht="24" customHeight="1" x14ac:dyDescent="0.35">
      <c r="A70" s="88" t="s">
        <v>217</v>
      </c>
      <c r="B70" s="35" t="s">
        <v>218</v>
      </c>
      <c r="C70" s="12" t="s">
        <v>11</v>
      </c>
      <c r="D70" s="13">
        <v>6</v>
      </c>
      <c r="E70" s="28" t="s">
        <v>219</v>
      </c>
      <c r="F70" s="13" t="str">
        <f>CONCATENATE(SUMPRODUCT(D70,4),"%")</f>
        <v>24%</v>
      </c>
      <c r="G70" s="14"/>
      <c r="H70" s="43"/>
    </row>
    <row r="71" spans="1:8" s="11" customFormat="1" ht="24" customHeight="1" x14ac:dyDescent="0.35">
      <c r="A71" s="88" t="s">
        <v>220</v>
      </c>
      <c r="B71" s="35" t="s">
        <v>114</v>
      </c>
      <c r="C71" s="12" t="s">
        <v>11</v>
      </c>
      <c r="D71" s="13">
        <v>6</v>
      </c>
      <c r="E71" s="28" t="s">
        <v>221</v>
      </c>
      <c r="F71" s="13">
        <f>SUMPRODUCT(D71,0.5)+0.5</f>
        <v>3.5</v>
      </c>
      <c r="G71" s="14"/>
      <c r="H71" s="43"/>
    </row>
    <row r="72" spans="1:8" s="11" customFormat="1" ht="24" customHeight="1" x14ac:dyDescent="0.35">
      <c r="A72" s="88" t="s">
        <v>222</v>
      </c>
      <c r="B72" s="35" t="s">
        <v>114</v>
      </c>
      <c r="C72" s="12" t="s">
        <v>11</v>
      </c>
      <c r="D72" s="13">
        <v>6</v>
      </c>
      <c r="E72" s="28" t="str">
        <f>CONCATENATE("有",SUMPRODUCT(D72,1)+6,"%","几率使对手失明几秒")</f>
        <v>有12%几率使对手失明几秒</v>
      </c>
      <c r="F72" s="13">
        <f>SUMPRODUCT(D72,2)</f>
        <v>12</v>
      </c>
      <c r="G72" s="14"/>
      <c r="H72" s="43"/>
    </row>
    <row r="73" spans="1:8" s="11" customFormat="1" ht="24" customHeight="1" x14ac:dyDescent="0.35">
      <c r="A73" s="88" t="s">
        <v>223</v>
      </c>
      <c r="B73" s="35" t="s">
        <v>224</v>
      </c>
      <c r="C73" s="12" t="s">
        <v>11</v>
      </c>
      <c r="D73" s="13">
        <v>6</v>
      </c>
      <c r="E73" s="28" t="s">
        <v>225</v>
      </c>
      <c r="F73" s="13" t="str">
        <f>CONCATENATE(SUMPRODUCT(D73,4),"%")</f>
        <v>24%</v>
      </c>
      <c r="G73" s="14"/>
      <c r="H73" s="43"/>
    </row>
    <row r="74" spans="1:8" s="11" customFormat="1" ht="24" customHeight="1" x14ac:dyDescent="0.35">
      <c r="A74" s="88" t="s">
        <v>226</v>
      </c>
      <c r="B74" s="35" t="s">
        <v>184</v>
      </c>
      <c r="C74" s="12" t="s">
        <v>11</v>
      </c>
      <c r="D74" s="13">
        <v>6</v>
      </c>
      <c r="E74" s="28" t="s">
        <v>227</v>
      </c>
      <c r="F74" s="13">
        <f>SUMPRODUCT(D74,3)</f>
        <v>18</v>
      </c>
      <c r="G74" s="14"/>
      <c r="H74" s="43" t="s">
        <v>228</v>
      </c>
    </row>
    <row r="75" spans="1:8" s="11" customFormat="1" ht="24" customHeight="1" x14ac:dyDescent="0.35">
      <c r="A75" s="88" t="s">
        <v>229</v>
      </c>
      <c r="B75" s="35" t="s">
        <v>201</v>
      </c>
      <c r="C75" s="12" t="s">
        <v>11</v>
      </c>
      <c r="D75" s="13">
        <v>6</v>
      </c>
      <c r="E75" s="28" t="s">
        <v>230</v>
      </c>
      <c r="F75" s="13" t="str">
        <f>CONCATENATE(SUMPRODUCT(D75,4),"%")</f>
        <v>24%</v>
      </c>
      <c r="G75" s="14"/>
      <c r="H75" s="43"/>
    </row>
    <row r="76" spans="1:8" s="11" customFormat="1" ht="24" customHeight="1" x14ac:dyDescent="0.35">
      <c r="A76" s="88" t="s">
        <v>231</v>
      </c>
      <c r="B76" s="35" t="s">
        <v>232</v>
      </c>
      <c r="C76" s="12" t="s">
        <v>11</v>
      </c>
      <c r="D76" s="13">
        <v>6</v>
      </c>
      <c r="E76" s="28" t="s">
        <v>233</v>
      </c>
      <c r="F76" s="13"/>
      <c r="G76" s="14">
        <f>30-SUMPRODUCT(D76,4)</f>
        <v>6</v>
      </c>
      <c r="H76" s="43"/>
    </row>
    <row r="77" spans="1:8" s="11" customFormat="1" ht="24" customHeight="1" x14ac:dyDescent="0.35">
      <c r="A77" s="88" t="s">
        <v>234</v>
      </c>
      <c r="B77" s="35" t="s">
        <v>116</v>
      </c>
      <c r="C77" s="12" t="s">
        <v>11</v>
      </c>
      <c r="D77" s="13">
        <v>6</v>
      </c>
      <c r="E77" s="28" t="s">
        <v>235</v>
      </c>
      <c r="F77" s="13">
        <f>SUMPRODUCT(D77,0.5)+1</f>
        <v>4</v>
      </c>
      <c r="G77" s="14"/>
      <c r="H77" s="43" t="s">
        <v>236</v>
      </c>
    </row>
    <row r="78" spans="1:8" s="11" customFormat="1" ht="24" customHeight="1" x14ac:dyDescent="0.35">
      <c r="A78" s="88" t="s">
        <v>237</v>
      </c>
      <c r="B78" s="35" t="s">
        <v>91</v>
      </c>
      <c r="C78" s="12" t="s">
        <v>11</v>
      </c>
      <c r="D78" s="13">
        <v>6</v>
      </c>
      <c r="E78" s="28" t="s">
        <v>238</v>
      </c>
      <c r="F78" s="13">
        <f>SUMPRODUCT(D78,0.5)+1</f>
        <v>4</v>
      </c>
      <c r="G78" s="14"/>
      <c r="H78" s="43"/>
    </row>
    <row r="79" spans="1:8" s="11" customFormat="1" ht="24" customHeight="1" x14ac:dyDescent="0.35">
      <c r="A79" s="88" t="s">
        <v>239</v>
      </c>
      <c r="B79" s="35" t="s">
        <v>240</v>
      </c>
      <c r="C79" s="12" t="s">
        <v>11</v>
      </c>
      <c r="D79" s="13">
        <v>6</v>
      </c>
      <c r="E79" s="28" t="s">
        <v>241</v>
      </c>
      <c r="F79" s="13">
        <f>SUMPRODUCT(D79,1)</f>
        <v>6</v>
      </c>
      <c r="G79" s="14"/>
      <c r="H79" s="43"/>
    </row>
    <row r="80" spans="1:8" s="11" customFormat="1" ht="24" customHeight="1" x14ac:dyDescent="0.35">
      <c r="A80" s="88" t="s">
        <v>242</v>
      </c>
      <c r="B80" s="35" t="s">
        <v>218</v>
      </c>
      <c r="C80" s="12" t="s">
        <v>11</v>
      </c>
      <c r="D80" s="13">
        <v>6</v>
      </c>
      <c r="E80" s="28" t="s">
        <v>354</v>
      </c>
      <c r="F80" s="13" t="str">
        <f>CONCATENATE(SUMPRODUCT(D80,1),"%")</f>
        <v>6%</v>
      </c>
      <c r="G80" s="14"/>
      <c r="H80" s="43" t="s">
        <v>244</v>
      </c>
    </row>
    <row r="81" spans="1:8" s="11" customFormat="1" ht="24" customHeight="1" x14ac:dyDescent="0.35">
      <c r="A81" s="88" t="s">
        <v>245</v>
      </c>
      <c r="B81" s="35" t="s">
        <v>114</v>
      </c>
      <c r="C81" s="12" t="s">
        <v>11</v>
      </c>
      <c r="D81" s="13"/>
      <c r="E81" s="28" t="s">
        <v>246</v>
      </c>
      <c r="F81" s="64">
        <v>0.15</v>
      </c>
      <c r="G81" s="14"/>
      <c r="H81" s="43"/>
    </row>
    <row r="82" spans="1:8" s="11" customFormat="1" ht="24" customHeight="1" x14ac:dyDescent="0.35">
      <c r="A82" s="88" t="s">
        <v>247</v>
      </c>
      <c r="B82" s="35" t="s">
        <v>204</v>
      </c>
      <c r="C82" s="12" t="s">
        <v>11</v>
      </c>
      <c r="D82" s="13">
        <v>6</v>
      </c>
      <c r="E82" s="28" t="s">
        <v>248</v>
      </c>
      <c r="F82" s="13" t="str">
        <f>CONCATENATE(SUMPRODUCT(D82,4),"%")</f>
        <v>24%</v>
      </c>
      <c r="G82" s="14"/>
      <c r="H82" s="43"/>
    </row>
    <row r="83" spans="1:8" s="11" customFormat="1" ht="24" customHeight="1" x14ac:dyDescent="0.35">
      <c r="A83" s="88" t="s">
        <v>249</v>
      </c>
      <c r="B83" s="35" t="s">
        <v>8</v>
      </c>
      <c r="C83" s="12" t="s">
        <v>11</v>
      </c>
      <c r="D83" s="13">
        <v>6</v>
      </c>
      <c r="E83" s="28" t="s">
        <v>250</v>
      </c>
      <c r="F83" s="13">
        <f>SUMPRODUCT(D83,1)</f>
        <v>6</v>
      </c>
      <c r="G83" s="14"/>
      <c r="H83" s="43"/>
    </row>
    <row r="84" spans="1:8" s="11" customFormat="1" ht="24" customHeight="1" x14ac:dyDescent="0.35">
      <c r="A84" s="88" t="s">
        <v>251</v>
      </c>
      <c r="B84" s="35" t="s">
        <v>163</v>
      </c>
      <c r="C84" s="12" t="s">
        <v>11</v>
      </c>
      <c r="D84" s="13">
        <v>6</v>
      </c>
      <c r="E84" s="28" t="s">
        <v>252</v>
      </c>
      <c r="F84" s="13" t="str">
        <f>CONCATENATE(SUMPRODUCT(D84,4),"%")</f>
        <v>24%</v>
      </c>
      <c r="G84" s="14"/>
      <c r="H84" s="43"/>
    </row>
    <row r="85" spans="1:8" s="11" customFormat="1" ht="24" customHeight="1" x14ac:dyDescent="0.35">
      <c r="A85" s="88" t="s">
        <v>177</v>
      </c>
      <c r="B85" s="35" t="s">
        <v>116</v>
      </c>
      <c r="C85" s="12" t="s">
        <v>11</v>
      </c>
      <c r="D85" s="13">
        <v>6</v>
      </c>
      <c r="E85" s="28" t="s">
        <v>253</v>
      </c>
      <c r="F85" s="13" t="str">
        <f>CONCATENATE(SUMPRODUCT(D85,40),"%")</f>
        <v>240%</v>
      </c>
      <c r="G85" s="14"/>
      <c r="H85" s="43" t="s">
        <v>174</v>
      </c>
    </row>
    <row r="86" spans="1:8" s="11" customFormat="1" ht="24" customHeight="1" x14ac:dyDescent="0.35">
      <c r="A86" s="88" t="s">
        <v>254</v>
      </c>
      <c r="B86" s="35" t="s">
        <v>114</v>
      </c>
      <c r="C86" s="12" t="s">
        <v>11</v>
      </c>
      <c r="D86" s="13">
        <v>6</v>
      </c>
      <c r="E86" s="28" t="s">
        <v>255</v>
      </c>
      <c r="F86" s="13">
        <f>SUMPRODUCT(D86,3)</f>
        <v>18</v>
      </c>
      <c r="G86" s="14"/>
      <c r="H86" s="43"/>
    </row>
    <row r="87" spans="1:8" s="11" customFormat="1" ht="24" customHeight="1" x14ac:dyDescent="0.35">
      <c r="A87" s="88" t="s">
        <v>256</v>
      </c>
      <c r="B87" s="35" t="s">
        <v>218</v>
      </c>
      <c r="C87" s="12" t="s">
        <v>11</v>
      </c>
      <c r="D87" s="13">
        <v>6</v>
      </c>
      <c r="E87" s="28" t="s">
        <v>257</v>
      </c>
      <c r="F87" s="13">
        <f>SUMPRODUCT(D87,2)</f>
        <v>12</v>
      </c>
      <c r="G87" s="14"/>
      <c r="H87" s="43" t="s">
        <v>258</v>
      </c>
    </row>
    <row r="88" spans="1:8" s="11" customFormat="1" ht="24" customHeight="1" x14ac:dyDescent="0.35">
      <c r="A88" s="88" t="s">
        <v>259</v>
      </c>
      <c r="B88" s="35" t="s">
        <v>114</v>
      </c>
      <c r="C88" s="12" t="s">
        <v>11</v>
      </c>
      <c r="D88" s="13">
        <v>6</v>
      </c>
      <c r="E88" s="28" t="s">
        <v>260</v>
      </c>
      <c r="F88" s="13" t="str">
        <f>CONCATENATE(SUMPRODUCT(D88,2),"%")</f>
        <v>12%</v>
      </c>
      <c r="G88" s="14"/>
      <c r="H88" s="43"/>
    </row>
    <row r="89" spans="1:8" s="11" customFormat="1" ht="24" customHeight="1" x14ac:dyDescent="0.35">
      <c r="A89" s="88" t="s">
        <v>261</v>
      </c>
      <c r="B89" s="35" t="s">
        <v>114</v>
      </c>
      <c r="C89" s="12" t="s">
        <v>11</v>
      </c>
      <c r="D89" s="13">
        <v>6</v>
      </c>
      <c r="E89" s="28" t="s">
        <v>262</v>
      </c>
      <c r="F89" s="13">
        <f>SUMPRODUCT(D89,1)+1</f>
        <v>7</v>
      </c>
      <c r="G89" s="14">
        <f>90-SUMPRODUCT(D89,5)</f>
        <v>60</v>
      </c>
      <c r="H89" s="43" t="s">
        <v>263</v>
      </c>
    </row>
    <row r="90" spans="1:8" s="11" customFormat="1" ht="24" customHeight="1" x14ac:dyDescent="0.35">
      <c r="A90" s="88" t="s">
        <v>258</v>
      </c>
      <c r="B90" s="35" t="s">
        <v>114</v>
      </c>
      <c r="C90" s="12" t="s">
        <v>11</v>
      </c>
      <c r="D90" s="13">
        <v>6</v>
      </c>
      <c r="E90" s="28" t="s">
        <v>264</v>
      </c>
      <c r="F90" s="13">
        <f>SUMPRODUCT(D90,1)</f>
        <v>6</v>
      </c>
      <c r="G90" s="14"/>
      <c r="H90" s="43" t="s">
        <v>256</v>
      </c>
    </row>
    <row r="91" spans="1:8" s="11" customFormat="1" ht="24" customHeight="1" x14ac:dyDescent="0.35">
      <c r="A91" s="88" t="s">
        <v>265</v>
      </c>
      <c r="B91" s="35" t="s">
        <v>266</v>
      </c>
      <c r="C91" s="12" t="s">
        <v>11</v>
      </c>
      <c r="D91" s="13">
        <v>6</v>
      </c>
      <c r="E91" s="28" t="s">
        <v>267</v>
      </c>
      <c r="F91" s="13">
        <f>SUMPRODUCT(D91,3)</f>
        <v>18</v>
      </c>
      <c r="G91" s="14"/>
      <c r="H91" s="43" t="s">
        <v>268</v>
      </c>
    </row>
    <row r="92" spans="1:8" s="11" customFormat="1" ht="24" customHeight="1" x14ac:dyDescent="0.35">
      <c r="A92" s="88" t="s">
        <v>269</v>
      </c>
      <c r="B92" s="35" t="s">
        <v>8</v>
      </c>
      <c r="C92" s="12" t="s">
        <v>11</v>
      </c>
      <c r="D92" s="13">
        <v>6</v>
      </c>
      <c r="E92" s="66" t="str">
        <f>CONCATENATE("有几率给你的对手造成1流血伤害,持续",SUMPRODUCT(D92,0.75)+1.5,"%","秒")</f>
        <v>有几率给你的对手造成1流血伤害,持续6%秒</v>
      </c>
      <c r="F92" s="13" t="str">
        <f>CONCATENATE(SUMPRODUCT(D92,3),"%")</f>
        <v>18%</v>
      </c>
      <c r="G92" s="14"/>
      <c r="H92" s="43" t="s">
        <v>270</v>
      </c>
    </row>
    <row r="93" spans="1:8" s="11" customFormat="1" ht="24" customHeight="1" x14ac:dyDescent="0.35">
      <c r="A93" s="88" t="s">
        <v>271</v>
      </c>
      <c r="B93" s="35" t="s">
        <v>272</v>
      </c>
      <c r="C93" s="12" t="s">
        <v>11</v>
      </c>
      <c r="D93" s="13">
        <v>6</v>
      </c>
      <c r="E93" s="28" t="s">
        <v>273</v>
      </c>
      <c r="F93" s="13" t="str">
        <f>CONCATENATE(SUMPRODUCT(D93,4),"%")</f>
        <v>24%</v>
      </c>
      <c r="G93" s="14"/>
      <c r="H93" s="43"/>
    </row>
    <row r="94" spans="1:8" s="11" customFormat="1" ht="24" customHeight="1" x14ac:dyDescent="0.35">
      <c r="A94" s="88" t="s">
        <v>274</v>
      </c>
      <c r="B94" s="35" t="s">
        <v>275</v>
      </c>
      <c r="C94" s="12" t="s">
        <v>11</v>
      </c>
      <c r="D94" s="13">
        <v>6</v>
      </c>
      <c r="E94" s="28" t="s">
        <v>276</v>
      </c>
      <c r="F94" s="13" t="str">
        <f>CONCATENATE(SUMPRODUCT(D94,3)+10,"%")</f>
        <v>28%</v>
      </c>
      <c r="G94" s="14"/>
      <c r="H94" s="43"/>
    </row>
    <row r="95" spans="1:8" s="11" customFormat="1" ht="36.450000000000003" customHeight="1" x14ac:dyDescent="0.35">
      <c r="A95" s="88" t="s">
        <v>277</v>
      </c>
      <c r="B95" s="35" t="s">
        <v>184</v>
      </c>
      <c r="C95" s="12" t="s">
        <v>11</v>
      </c>
      <c r="D95" s="13">
        <v>5</v>
      </c>
      <c r="E95" s="28" t="s">
        <v>278</v>
      </c>
      <c r="F95" s="13">
        <f>SUMPRODUCT(D95,2.5)</f>
        <v>12.5</v>
      </c>
      <c r="G95" s="14"/>
      <c r="H95" s="65" t="s">
        <v>279</v>
      </c>
    </row>
    <row r="96" spans="1:8" s="11" customFormat="1" ht="24" customHeight="1" x14ac:dyDescent="0.35">
      <c r="A96" s="88" t="s">
        <v>280</v>
      </c>
      <c r="B96" s="35" t="s">
        <v>163</v>
      </c>
      <c r="C96" s="12" t="s">
        <v>11</v>
      </c>
      <c r="D96" s="13">
        <v>4</v>
      </c>
      <c r="E96" s="28" t="s">
        <v>199</v>
      </c>
      <c r="F96" s="13">
        <f>SUMPRODUCT(D96,1)+1</f>
        <v>5</v>
      </c>
      <c r="G96" s="14"/>
      <c r="H96" s="43" t="s">
        <v>281</v>
      </c>
    </row>
    <row r="97" spans="1:8" s="11" customFormat="1" ht="24" customHeight="1" x14ac:dyDescent="0.35">
      <c r="A97" s="88" t="s">
        <v>282</v>
      </c>
      <c r="B97" s="35" t="s">
        <v>127</v>
      </c>
      <c r="C97" s="12" t="s">
        <v>11</v>
      </c>
      <c r="D97" s="13">
        <v>3</v>
      </c>
      <c r="E97" s="28" t="s">
        <v>283</v>
      </c>
      <c r="F97" s="13" t="str">
        <f>CONCATENATE(SUMPRODUCT(D97,15),"%")</f>
        <v>45%</v>
      </c>
      <c r="G97" s="14"/>
      <c r="H97" s="43"/>
    </row>
    <row r="98" spans="1:8" s="11" customFormat="1" ht="24" customHeight="1" x14ac:dyDescent="0.35">
      <c r="A98" s="88" t="s">
        <v>284</v>
      </c>
      <c r="B98" s="35" t="s">
        <v>463</v>
      </c>
      <c r="C98" s="12" t="s">
        <v>11</v>
      </c>
      <c r="D98" s="13"/>
      <c r="E98" s="28" t="s">
        <v>285</v>
      </c>
      <c r="F98" s="13"/>
      <c r="G98" s="14"/>
      <c r="H98" s="43" t="s">
        <v>286</v>
      </c>
    </row>
    <row r="99" spans="1:8" s="11" customFormat="1" ht="24" customHeight="1" x14ac:dyDescent="0.35">
      <c r="A99" s="88" t="s">
        <v>287</v>
      </c>
      <c r="B99" s="35" t="s">
        <v>166</v>
      </c>
      <c r="C99" s="12" t="s">
        <v>11</v>
      </c>
      <c r="D99" s="13">
        <v>4</v>
      </c>
      <c r="E99" s="28" t="s">
        <v>288</v>
      </c>
      <c r="F99" s="13" t="str">
        <f>CONCATENATE(SUMPRODUCT(D99,4),"%")</f>
        <v>16%</v>
      </c>
      <c r="G99" s="14"/>
      <c r="H99" s="43" t="s">
        <v>289</v>
      </c>
    </row>
    <row r="100" spans="1:8" s="11" customFormat="1" ht="24" customHeight="1" x14ac:dyDescent="0.35">
      <c r="A100" s="88" t="s">
        <v>290</v>
      </c>
      <c r="B100" s="35" t="s">
        <v>201</v>
      </c>
      <c r="C100" s="12" t="s">
        <v>11</v>
      </c>
      <c r="D100" s="13">
        <v>3</v>
      </c>
      <c r="E100" s="28" t="s">
        <v>291</v>
      </c>
      <c r="F100" s="13">
        <f>SUMPRODUCT(D100,5)</f>
        <v>15</v>
      </c>
      <c r="G100" s="14"/>
      <c r="H100" s="43"/>
    </row>
    <row r="101" spans="1:8" s="11" customFormat="1" ht="24" customHeight="1" x14ac:dyDescent="0.35">
      <c r="A101" s="88" t="s">
        <v>292</v>
      </c>
      <c r="B101" s="35" t="s">
        <v>272</v>
      </c>
      <c r="C101" s="12" t="s">
        <v>11</v>
      </c>
      <c r="D101" s="13">
        <v>2</v>
      </c>
      <c r="E101" s="28" t="s">
        <v>294</v>
      </c>
      <c r="F101" s="13">
        <f>SUMPRODUCT(D101,3)</f>
        <v>6</v>
      </c>
      <c r="G101" s="14"/>
      <c r="H101" s="43"/>
    </row>
    <row r="102" spans="1:8" s="11" customFormat="1" ht="29.7" customHeight="1" x14ac:dyDescent="0.35">
      <c r="A102" s="88" t="s">
        <v>293</v>
      </c>
      <c r="B102" s="35" t="s">
        <v>295</v>
      </c>
      <c r="C102" s="12" t="s">
        <v>11</v>
      </c>
      <c r="D102" s="13"/>
      <c r="E102" s="28" t="s">
        <v>296</v>
      </c>
      <c r="F102" s="13"/>
      <c r="G102" s="14"/>
      <c r="H102" s="43" t="s">
        <v>466</v>
      </c>
    </row>
    <row r="103" spans="1:8" s="11" customFormat="1" ht="24" customHeight="1" x14ac:dyDescent="0.35">
      <c r="A103" s="88" t="s">
        <v>297</v>
      </c>
      <c r="B103" s="35" t="s">
        <v>129</v>
      </c>
      <c r="C103" s="12" t="s">
        <v>11</v>
      </c>
      <c r="D103" s="13"/>
      <c r="E103" s="28" t="s">
        <v>298</v>
      </c>
      <c r="F103" s="13"/>
      <c r="G103" s="14"/>
      <c r="H103" s="43"/>
    </row>
    <row r="104" spans="1:8" s="11" customFormat="1" ht="24" customHeight="1" x14ac:dyDescent="0.35">
      <c r="A104" s="88" t="s">
        <v>299</v>
      </c>
      <c r="B104" s="35" t="s">
        <v>91</v>
      </c>
      <c r="C104" s="12" t="s">
        <v>11</v>
      </c>
      <c r="D104" s="13">
        <v>3</v>
      </c>
      <c r="E104" s="28" t="s">
        <v>300</v>
      </c>
      <c r="F104" s="13"/>
      <c r="G104" s="14"/>
      <c r="H104" s="43" t="s">
        <v>187</v>
      </c>
    </row>
    <row r="105" spans="1:8" s="11" customFormat="1" ht="24" customHeight="1" x14ac:dyDescent="0.35">
      <c r="A105" s="88" t="s">
        <v>301</v>
      </c>
      <c r="B105" s="35" t="s">
        <v>272</v>
      </c>
      <c r="C105" s="12" t="s">
        <v>11</v>
      </c>
      <c r="D105" s="13"/>
      <c r="E105" s="28" t="s">
        <v>302</v>
      </c>
      <c r="F105" s="13"/>
      <c r="G105" s="14"/>
      <c r="H105" s="43" t="s">
        <v>284</v>
      </c>
    </row>
    <row r="106" spans="1:8" s="11" customFormat="1" ht="24" customHeight="1" x14ac:dyDescent="0.35">
      <c r="A106" s="88" t="s">
        <v>303</v>
      </c>
      <c r="B106" s="35" t="s">
        <v>272</v>
      </c>
      <c r="C106" s="12" t="s">
        <v>11</v>
      </c>
      <c r="D106" s="13"/>
      <c r="E106" s="28" t="s">
        <v>304</v>
      </c>
      <c r="F106" s="13"/>
      <c r="G106" s="14"/>
      <c r="H106" s="43"/>
    </row>
    <row r="107" spans="1:8" s="11" customFormat="1" ht="24" customHeight="1" x14ac:dyDescent="0.35">
      <c r="A107" s="88" t="s">
        <v>444</v>
      </c>
      <c r="B107" s="35" t="s">
        <v>232</v>
      </c>
      <c r="C107" s="12" t="s">
        <v>11</v>
      </c>
      <c r="D107" s="13">
        <v>6</v>
      </c>
      <c r="E107" s="28" t="s">
        <v>445</v>
      </c>
      <c r="F107" s="13">
        <f>SUMPRODUCT(D107,0.5)</f>
        <v>3</v>
      </c>
      <c r="G107" s="14">
        <f>90-SUMPRODUCT(D107,10)</f>
        <v>30</v>
      </c>
      <c r="H107" s="43" t="s">
        <v>263</v>
      </c>
    </row>
    <row r="108" spans="1:8" s="11" customFormat="1" ht="24" customHeight="1" x14ac:dyDescent="0.35">
      <c r="A108" s="88" t="s">
        <v>446</v>
      </c>
      <c r="B108" s="35" t="s">
        <v>343</v>
      </c>
      <c r="C108" s="12" t="s">
        <v>11</v>
      </c>
      <c r="D108" s="13">
        <v>6</v>
      </c>
      <c r="E108" s="28" t="s">
        <v>447</v>
      </c>
      <c r="F108" s="13">
        <f>SUMPRODUCT(D108,5)</f>
        <v>30</v>
      </c>
      <c r="G108" s="14">
        <f>200-SUMPRODUCT(D108,25)</f>
        <v>50</v>
      </c>
      <c r="H108" s="43"/>
    </row>
    <row r="109" spans="1:8" s="11" customFormat="1" ht="24" customHeight="1" x14ac:dyDescent="0.35">
      <c r="A109" s="88" t="s">
        <v>448</v>
      </c>
      <c r="B109" s="35" t="s">
        <v>449</v>
      </c>
      <c r="C109" s="12" t="s">
        <v>11</v>
      </c>
      <c r="D109" s="13">
        <v>6</v>
      </c>
      <c r="E109" s="28" t="s">
        <v>450</v>
      </c>
      <c r="F109" s="13">
        <f>SUMPRODUCT(D109,3)</f>
        <v>18</v>
      </c>
      <c r="G109" s="14"/>
      <c r="H109" s="43"/>
    </row>
    <row r="110" spans="1:8" s="11" customFormat="1" ht="24" customHeight="1" x14ac:dyDescent="0.35">
      <c r="A110" s="88" t="s">
        <v>451</v>
      </c>
      <c r="B110" s="35" t="s">
        <v>114</v>
      </c>
      <c r="C110" s="12" t="s">
        <v>11</v>
      </c>
      <c r="D110" s="13">
        <v>6</v>
      </c>
      <c r="E110" s="28" t="s">
        <v>452</v>
      </c>
      <c r="F110" s="13" t="str">
        <f>CONCATENATE(SUMPRODUCT(D110,4),"%")</f>
        <v>24%</v>
      </c>
      <c r="G110" s="14"/>
      <c r="H110" s="43"/>
    </row>
    <row r="111" spans="1:8" s="11" customFormat="1" ht="24" customHeight="1" x14ac:dyDescent="0.35">
      <c r="A111" s="88" t="s">
        <v>453</v>
      </c>
      <c r="B111" s="35" t="s">
        <v>114</v>
      </c>
      <c r="C111" s="12" t="s">
        <v>11</v>
      </c>
      <c r="D111" s="13">
        <v>6</v>
      </c>
      <c r="E111" s="28" t="s">
        <v>454</v>
      </c>
      <c r="F111" s="13" t="str">
        <f>CONCATENATE(SUMPRODUCT(D111,1.5),"%")</f>
        <v>9%</v>
      </c>
      <c r="G111" s="14"/>
      <c r="H111" s="43"/>
    </row>
    <row r="112" spans="1:8" s="11" customFormat="1" ht="24" customHeight="1" x14ac:dyDescent="0.35">
      <c r="A112" s="88" t="s">
        <v>456</v>
      </c>
      <c r="B112" s="35" t="s">
        <v>8</v>
      </c>
      <c r="C112" s="12" t="s">
        <v>455</v>
      </c>
      <c r="D112" s="13">
        <v>6</v>
      </c>
      <c r="E112" s="28" t="s">
        <v>457</v>
      </c>
      <c r="F112" s="13" t="str">
        <f>CONCATENATE(SUMPRODUCT(D112,1),"%")</f>
        <v>6%</v>
      </c>
      <c r="G112" s="14"/>
      <c r="H112" s="43"/>
    </row>
    <row r="113" spans="1:8" s="11" customFormat="1" ht="24" customHeight="1" x14ac:dyDescent="0.35">
      <c r="A113" s="88" t="s">
        <v>458</v>
      </c>
      <c r="B113" s="35" t="s">
        <v>232</v>
      </c>
      <c r="C113" s="12" t="s">
        <v>11</v>
      </c>
      <c r="D113" s="13">
        <v>6</v>
      </c>
      <c r="E113" s="28" t="s">
        <v>459</v>
      </c>
      <c r="F113" s="13" t="str">
        <f>CONCATENATE(SUMPRODUCT(D113,4),"%")</f>
        <v>24%</v>
      </c>
      <c r="G113" s="14"/>
      <c r="H113" s="43"/>
    </row>
    <row r="114" spans="1:8" s="11" customFormat="1" ht="24" customHeight="1" x14ac:dyDescent="0.35">
      <c r="A114" s="88" t="s">
        <v>460</v>
      </c>
      <c r="B114" s="35" t="s">
        <v>461</v>
      </c>
      <c r="C114" s="12" t="s">
        <v>11</v>
      </c>
      <c r="D114" s="13">
        <v>6</v>
      </c>
      <c r="E114" s="28" t="str">
        <f>CONCATENATE("当生命低于",SUMPRODUCT(D114,3)+32,"%","减少受到的伤害")</f>
        <v>当生命低于50%减少受到的伤害</v>
      </c>
      <c r="F114" s="13" t="str">
        <f>CONCATENATE(SUMPRODUCT(D114,1),"%")</f>
        <v>6%</v>
      </c>
      <c r="G114" s="14"/>
      <c r="H114" s="43"/>
    </row>
    <row r="115" spans="1:8" s="11" customFormat="1" ht="24" customHeight="1" x14ac:dyDescent="0.35">
      <c r="A115" s="89" t="s">
        <v>80</v>
      </c>
      <c r="B115" s="36" t="s">
        <v>74</v>
      </c>
      <c r="C115" s="20" t="s">
        <v>21</v>
      </c>
      <c r="D115" s="21">
        <v>6</v>
      </c>
      <c r="E115" s="29" t="s">
        <v>81</v>
      </c>
      <c r="F115" s="21" t="str">
        <f>IF(D115&lt;3,"1",IF(D115&lt;6,"2","3"))</f>
        <v>3</v>
      </c>
      <c r="G115" s="22">
        <f>150-SUMPRODUCT(D115,10)</f>
        <v>90</v>
      </c>
      <c r="H115" s="44"/>
    </row>
    <row r="116" spans="1:8" s="11" customFormat="1" ht="24" customHeight="1" x14ac:dyDescent="0.35">
      <c r="A116" s="89" t="s">
        <v>78</v>
      </c>
      <c r="B116" s="36" t="s">
        <v>70</v>
      </c>
      <c r="C116" s="20" t="s">
        <v>21</v>
      </c>
      <c r="D116" s="21">
        <v>6</v>
      </c>
      <c r="E116" s="29" t="s">
        <v>79</v>
      </c>
      <c r="F116" s="21" t="str">
        <f>IF(D116&lt;3,"1",IF(D116&lt;6,"2","3"))</f>
        <v>3</v>
      </c>
      <c r="G116" s="22" t="s">
        <v>465</v>
      </c>
      <c r="H116" s="44"/>
    </row>
    <row r="117" spans="1:8" s="11" customFormat="1" ht="24" customHeight="1" x14ac:dyDescent="0.35">
      <c r="A117" s="89" t="s">
        <v>29</v>
      </c>
      <c r="B117" s="36" t="s">
        <v>13</v>
      </c>
      <c r="C117" s="20" t="s">
        <v>21</v>
      </c>
      <c r="D117" s="21">
        <v>6</v>
      </c>
      <c r="E117" s="29" t="s">
        <v>30</v>
      </c>
      <c r="F117" s="21"/>
      <c r="G117" s="22">
        <f>26-SUMPRODUCT(D117,2)</f>
        <v>14</v>
      </c>
      <c r="H117" s="44"/>
    </row>
    <row r="118" spans="1:8" s="11" customFormat="1" ht="24" customHeight="1" x14ac:dyDescent="0.35">
      <c r="A118" s="89" t="s">
        <v>27</v>
      </c>
      <c r="B118" s="36" t="s">
        <v>19</v>
      </c>
      <c r="C118" s="20" t="s">
        <v>21</v>
      </c>
      <c r="D118" s="21">
        <v>6</v>
      </c>
      <c r="E118" s="29" t="s">
        <v>28</v>
      </c>
      <c r="F118" s="21">
        <f>SUMPRODUCT(D118,0.5)</f>
        <v>3</v>
      </c>
      <c r="G118" s="22"/>
      <c r="H118" s="44"/>
    </row>
    <row r="119" spans="1:8" s="11" customFormat="1" ht="24" customHeight="1" x14ac:dyDescent="0.35">
      <c r="A119" s="89" t="s">
        <v>22</v>
      </c>
      <c r="B119" s="36" t="s">
        <v>23</v>
      </c>
      <c r="C119" s="20" t="s">
        <v>21</v>
      </c>
      <c r="D119" s="21">
        <v>6</v>
      </c>
      <c r="E119" s="29" t="s">
        <v>24</v>
      </c>
      <c r="F119" s="21">
        <f>3+SUMPRODUCT(D119,1)</f>
        <v>9</v>
      </c>
      <c r="G119" s="22">
        <v>20</v>
      </c>
      <c r="H119" s="44" t="s">
        <v>25</v>
      </c>
    </row>
    <row r="120" spans="1:8" s="11" customFormat="1" ht="24" customHeight="1" x14ac:dyDescent="0.35">
      <c r="A120" s="89" t="s">
        <v>305</v>
      </c>
      <c r="B120" s="36" t="s">
        <v>114</v>
      </c>
      <c r="C120" s="20" t="s">
        <v>21</v>
      </c>
      <c r="D120" s="21">
        <v>6</v>
      </c>
      <c r="E120" s="29" t="s">
        <v>306</v>
      </c>
      <c r="F120" s="21">
        <f>SUMPRODUCT(D120,1)</f>
        <v>6</v>
      </c>
      <c r="G120" s="22">
        <f>60-SUMPRODUCT(D120,5)</f>
        <v>30</v>
      </c>
      <c r="H120" s="44"/>
    </row>
    <row r="121" spans="1:8" s="11" customFormat="1" ht="24" customHeight="1" x14ac:dyDescent="0.35">
      <c r="A121" s="89" t="s">
        <v>307</v>
      </c>
      <c r="B121" s="36" t="s">
        <v>91</v>
      </c>
      <c r="C121" s="20" t="s">
        <v>21</v>
      </c>
      <c r="D121" s="21"/>
      <c r="E121" s="29" t="s">
        <v>308</v>
      </c>
      <c r="F121" s="21"/>
      <c r="G121" s="22"/>
      <c r="H121" s="44"/>
    </row>
    <row r="122" spans="1:8" s="11" customFormat="1" ht="24" customHeight="1" x14ac:dyDescent="0.35">
      <c r="A122" s="89" t="s">
        <v>309</v>
      </c>
      <c r="B122" s="36" t="s">
        <v>204</v>
      </c>
      <c r="C122" s="20" t="s">
        <v>21</v>
      </c>
      <c r="D122" s="21">
        <v>6</v>
      </c>
      <c r="E122" s="29" t="s">
        <v>310</v>
      </c>
      <c r="F122" s="21" t="str">
        <f>CONCATENATE(SUMPRODUCT(D122,5),"%")</f>
        <v>30%</v>
      </c>
      <c r="G122" s="22"/>
      <c r="H122" s="44" t="s">
        <v>311</v>
      </c>
    </row>
    <row r="123" spans="1:8" s="11" customFormat="1" ht="24" customHeight="1" x14ac:dyDescent="0.35">
      <c r="A123" s="89" t="s">
        <v>312</v>
      </c>
      <c r="B123" s="36" t="s">
        <v>232</v>
      </c>
      <c r="C123" s="20" t="s">
        <v>21</v>
      </c>
      <c r="D123" s="21">
        <v>6</v>
      </c>
      <c r="E123" s="29" t="s">
        <v>243</v>
      </c>
      <c r="F123" s="21" t="str">
        <f>CONCATENATE(SUMPRODUCT(D123,1.5),"%")</f>
        <v>9%</v>
      </c>
      <c r="G123" s="22"/>
      <c r="H123" s="44"/>
    </row>
    <row r="124" spans="1:8" s="11" customFormat="1" ht="24" customHeight="1" x14ac:dyDescent="0.35">
      <c r="A124" s="89" t="s">
        <v>313</v>
      </c>
      <c r="B124" s="36" t="s">
        <v>116</v>
      </c>
      <c r="C124" s="20" t="s">
        <v>21</v>
      </c>
      <c r="D124" s="21">
        <v>6</v>
      </c>
      <c r="E124" s="29" t="s">
        <v>314</v>
      </c>
      <c r="F124" s="21" t="str">
        <f>CONCATENATE(SUMPRODUCT(D124,2),"%")</f>
        <v>12%</v>
      </c>
      <c r="G124" s="22"/>
      <c r="H124" s="44" t="s">
        <v>315</v>
      </c>
    </row>
    <row r="125" spans="1:8" s="11" customFormat="1" ht="24" customHeight="1" x14ac:dyDescent="0.35">
      <c r="A125" s="89" t="s">
        <v>316</v>
      </c>
      <c r="B125" s="36" t="s">
        <v>166</v>
      </c>
      <c r="C125" s="20" t="s">
        <v>21</v>
      </c>
      <c r="D125" s="21">
        <v>6</v>
      </c>
      <c r="E125" s="29" t="s">
        <v>317</v>
      </c>
      <c r="F125" s="21">
        <f>SUMPRODUCT(D125,2)+4</f>
        <v>16</v>
      </c>
      <c r="G125" s="22">
        <v>30</v>
      </c>
      <c r="H125" s="44"/>
    </row>
    <row r="126" spans="1:8" s="11" customFormat="1" ht="24" customHeight="1" x14ac:dyDescent="0.35">
      <c r="A126" s="89" t="s">
        <v>318</v>
      </c>
      <c r="B126" s="36" t="s">
        <v>232</v>
      </c>
      <c r="C126" s="20" t="s">
        <v>21</v>
      </c>
      <c r="D126" s="21"/>
      <c r="E126" s="29" t="s">
        <v>319</v>
      </c>
      <c r="F126" s="21"/>
      <c r="G126" s="22"/>
      <c r="H126" s="44"/>
    </row>
    <row r="127" spans="1:8" s="11" customFormat="1" ht="24" customHeight="1" x14ac:dyDescent="0.35">
      <c r="A127" s="89" t="s">
        <v>320</v>
      </c>
      <c r="B127" s="36" t="s">
        <v>218</v>
      </c>
      <c r="C127" s="20" t="s">
        <v>21</v>
      </c>
      <c r="D127" s="21">
        <v>6</v>
      </c>
      <c r="E127" s="29" t="s">
        <v>321</v>
      </c>
      <c r="F127" s="21">
        <f t="shared" ref="F127" si="1">SUMPRODUCT(D127,2)</f>
        <v>12</v>
      </c>
      <c r="G127" s="22"/>
      <c r="H127" s="44"/>
    </row>
    <row r="128" spans="1:8" s="11" customFormat="1" ht="24" customHeight="1" x14ac:dyDescent="0.35">
      <c r="A128" s="89" t="s">
        <v>268</v>
      </c>
      <c r="B128" s="36" t="s">
        <v>322</v>
      </c>
      <c r="C128" s="20" t="s">
        <v>21</v>
      </c>
      <c r="D128" s="21">
        <v>6</v>
      </c>
      <c r="E128" s="29" t="s">
        <v>323</v>
      </c>
      <c r="F128" s="21" t="str">
        <f>CONCATENATE(SUMPRODUCT(D128,1)+2,"%")</f>
        <v>8%</v>
      </c>
      <c r="G128" s="22"/>
      <c r="H128" s="44" t="s">
        <v>265</v>
      </c>
    </row>
    <row r="129" spans="1:8" s="11" customFormat="1" ht="24" customHeight="1" x14ac:dyDescent="0.35">
      <c r="A129" s="89" t="s">
        <v>263</v>
      </c>
      <c r="B129" s="36" t="s">
        <v>114</v>
      </c>
      <c r="C129" s="20" t="s">
        <v>21</v>
      </c>
      <c r="D129" s="21">
        <v>6</v>
      </c>
      <c r="E129" s="29" t="s">
        <v>324</v>
      </c>
      <c r="F129" s="21">
        <f>SUMPRODUCT(D129,1.5)</f>
        <v>9</v>
      </c>
      <c r="G129" s="22">
        <f>60-SUMPRODUCT(D129,6)</f>
        <v>24</v>
      </c>
      <c r="H129" s="44" t="s">
        <v>325</v>
      </c>
    </row>
    <row r="130" spans="1:8" s="11" customFormat="1" ht="24" customHeight="1" x14ac:dyDescent="0.35">
      <c r="A130" s="89" t="s">
        <v>326</v>
      </c>
      <c r="B130" s="36" t="s">
        <v>232</v>
      </c>
      <c r="C130" s="20" t="s">
        <v>21</v>
      </c>
      <c r="D130" s="21">
        <v>6</v>
      </c>
      <c r="E130" s="29" t="s">
        <v>327</v>
      </c>
      <c r="F130" s="21">
        <f>SUMPRODUCT(D130,0.05)</f>
        <v>0.30000000000000004</v>
      </c>
      <c r="G130" s="22"/>
      <c r="H130" s="44"/>
    </row>
    <row r="131" spans="1:8" s="11" customFormat="1" ht="24" customHeight="1" x14ac:dyDescent="0.35">
      <c r="A131" s="89" t="s">
        <v>315</v>
      </c>
      <c r="B131" s="36" t="s">
        <v>114</v>
      </c>
      <c r="C131" s="20" t="s">
        <v>21</v>
      </c>
      <c r="D131" s="21">
        <v>6</v>
      </c>
      <c r="E131" s="29" t="s">
        <v>328</v>
      </c>
      <c r="F131" s="21" t="str">
        <f>CONCATENATE(SUMPRODUCT(D131,4),"%")</f>
        <v>24%</v>
      </c>
      <c r="G131" s="22"/>
      <c r="H131" s="44" t="s">
        <v>313</v>
      </c>
    </row>
    <row r="132" spans="1:8" s="11" customFormat="1" ht="24" customHeight="1" x14ac:dyDescent="0.35">
      <c r="A132" s="89" t="s">
        <v>329</v>
      </c>
      <c r="B132" s="36" t="s">
        <v>330</v>
      </c>
      <c r="C132" s="20" t="s">
        <v>21</v>
      </c>
      <c r="D132" s="21">
        <v>6</v>
      </c>
      <c r="E132" s="29" t="s">
        <v>331</v>
      </c>
      <c r="F132" s="21">
        <f>SUMPRODUCT(D132,0.5)+2</f>
        <v>5</v>
      </c>
      <c r="G132" s="22">
        <v>25</v>
      </c>
      <c r="H132" s="44"/>
    </row>
    <row r="133" spans="1:8" s="11" customFormat="1" ht="24" customHeight="1" x14ac:dyDescent="0.35">
      <c r="A133" s="89" t="s">
        <v>332</v>
      </c>
      <c r="B133" s="36" t="s">
        <v>232</v>
      </c>
      <c r="C133" s="20" t="s">
        <v>21</v>
      </c>
      <c r="D133" s="21">
        <v>6</v>
      </c>
      <c r="E133" s="29" t="str">
        <f>CONCATENATE("攻击对手时有几率获得速度2持续",SUMPRODUCT(D133,1)+2,"秒")</f>
        <v>攻击对手时有几率获得速度2持续8秒</v>
      </c>
      <c r="F133" s="21" t="str">
        <f>CONCATENATE(SUMPRODUCT(D133,2)+8,"%")</f>
        <v>20%</v>
      </c>
      <c r="G133" s="22"/>
      <c r="H133" s="44"/>
    </row>
    <row r="134" spans="1:8" s="11" customFormat="1" ht="24" customHeight="1" x14ac:dyDescent="0.35">
      <c r="A134" s="89" t="s">
        <v>333</v>
      </c>
      <c r="B134" s="36" t="s">
        <v>218</v>
      </c>
      <c r="C134" s="20" t="s">
        <v>21</v>
      </c>
      <c r="D134" s="21">
        <v>6</v>
      </c>
      <c r="E134" s="29" t="s">
        <v>334</v>
      </c>
      <c r="F134" s="21">
        <f>SUMPRODUCT(D134,2)+4</f>
        <v>16</v>
      </c>
      <c r="G134" s="22"/>
      <c r="H134" s="44"/>
    </row>
    <row r="135" spans="1:8" s="11" customFormat="1" ht="24" customHeight="1" x14ac:dyDescent="0.35">
      <c r="A135" s="89" t="s">
        <v>335</v>
      </c>
      <c r="B135" s="36" t="s">
        <v>272</v>
      </c>
      <c r="C135" s="20" t="s">
        <v>21</v>
      </c>
      <c r="D135" s="21">
        <v>6</v>
      </c>
      <c r="E135" s="29" t="s">
        <v>336</v>
      </c>
      <c r="F135" s="21" t="str">
        <f xml:space="preserve"> (100 - SUMPRODUCT(D135,8)) &amp; "%"</f>
        <v>52%</v>
      </c>
      <c r="G135" s="22"/>
      <c r="H135" s="44" t="s">
        <v>337</v>
      </c>
    </row>
    <row r="136" spans="1:8" s="11" customFormat="1" ht="24" customHeight="1" x14ac:dyDescent="0.35">
      <c r="A136" s="89" t="s">
        <v>338</v>
      </c>
      <c r="B136" s="67" t="s">
        <v>339</v>
      </c>
      <c r="C136" s="20" t="s">
        <v>21</v>
      </c>
      <c r="D136" s="21">
        <v>6</v>
      </c>
      <c r="E136" s="29" t="s">
        <v>340</v>
      </c>
      <c r="F136" s="21" t="str">
        <f>CONCATENATE(SUMPRODUCT(D136,5),"%")</f>
        <v>30%</v>
      </c>
      <c r="G136" s="22"/>
      <c r="H136" s="44" t="s">
        <v>341</v>
      </c>
    </row>
    <row r="137" spans="1:8" s="11" customFormat="1" ht="24" customHeight="1" x14ac:dyDescent="0.35">
      <c r="A137" s="89" t="s">
        <v>342</v>
      </c>
      <c r="B137" s="36" t="s">
        <v>343</v>
      </c>
      <c r="C137" s="20" t="s">
        <v>21</v>
      </c>
      <c r="D137" s="21">
        <v>6</v>
      </c>
      <c r="E137" s="29" t="s">
        <v>344</v>
      </c>
      <c r="F137" s="21">
        <f>SUMPRODUCT(D137,1)</f>
        <v>6</v>
      </c>
      <c r="G137" s="22"/>
      <c r="H137" s="44"/>
    </row>
    <row r="138" spans="1:8" s="11" customFormat="1" ht="24" customHeight="1" x14ac:dyDescent="0.35">
      <c r="A138" s="89" t="s">
        <v>345</v>
      </c>
      <c r="B138" s="36" t="s">
        <v>184</v>
      </c>
      <c r="C138" s="20" t="s">
        <v>21</v>
      </c>
      <c r="D138" s="21">
        <v>6</v>
      </c>
      <c r="E138" s="29" t="s">
        <v>346</v>
      </c>
      <c r="F138" s="21">
        <f>SUMPRODUCT(D138,13)+9</f>
        <v>87</v>
      </c>
      <c r="G138" s="22"/>
      <c r="H138" s="44"/>
    </row>
    <row r="139" spans="1:8" s="11" customFormat="1" ht="24" customHeight="1" x14ac:dyDescent="0.35">
      <c r="A139" s="89" t="s">
        <v>347</v>
      </c>
      <c r="B139" s="36" t="s">
        <v>91</v>
      </c>
      <c r="C139" s="20" t="s">
        <v>21</v>
      </c>
      <c r="D139" s="21">
        <v>6</v>
      </c>
      <c r="E139" s="29" t="s">
        <v>348</v>
      </c>
      <c r="F139" s="21" t="str">
        <f>CONCATENATE(SUMPRODUCT(D139,5),"%")</f>
        <v>30%</v>
      </c>
      <c r="G139" s="22"/>
      <c r="H139" s="44"/>
    </row>
    <row r="140" spans="1:8" s="11" customFormat="1" ht="32.700000000000003" customHeight="1" x14ac:dyDescent="0.35">
      <c r="A140" s="89" t="s">
        <v>349</v>
      </c>
      <c r="B140" s="36" t="s">
        <v>116</v>
      </c>
      <c r="C140" s="20" t="s">
        <v>21</v>
      </c>
      <c r="D140" s="21">
        <v>6</v>
      </c>
      <c r="E140" s="29" t="s">
        <v>467</v>
      </c>
      <c r="F140" s="21">
        <f>SUMPRODUCT(D140,0.02)</f>
        <v>0.12</v>
      </c>
      <c r="G140" s="22"/>
      <c r="H140" s="44"/>
    </row>
    <row r="141" spans="1:8" s="11" customFormat="1" ht="24" customHeight="1" x14ac:dyDescent="0.35">
      <c r="A141" s="89" t="s">
        <v>350</v>
      </c>
      <c r="B141" s="36" t="s">
        <v>351</v>
      </c>
      <c r="C141" s="20" t="s">
        <v>21</v>
      </c>
      <c r="D141" s="21">
        <v>6</v>
      </c>
      <c r="E141" s="29" t="s">
        <v>352</v>
      </c>
      <c r="F141" s="21" t="str">
        <f>CONCATENATE(SUMPRODUCT(D141,5),"%")</f>
        <v>30%</v>
      </c>
      <c r="G141" s="22"/>
      <c r="H141" s="44"/>
    </row>
    <row r="142" spans="1:8" s="11" customFormat="1" ht="24" customHeight="1" x14ac:dyDescent="0.35">
      <c r="A142" s="89" t="s">
        <v>353</v>
      </c>
      <c r="B142" s="36" t="s">
        <v>240</v>
      </c>
      <c r="C142" s="20" t="s">
        <v>21</v>
      </c>
      <c r="D142" s="21">
        <v>6</v>
      </c>
      <c r="E142" s="29" t="s">
        <v>354</v>
      </c>
      <c r="F142" s="21" t="str">
        <f>CONCATENATE(SUMPRODUCT(D142,1),"%")</f>
        <v>6%</v>
      </c>
      <c r="G142" s="22"/>
      <c r="H142" s="44"/>
    </row>
    <row r="143" spans="1:8" s="11" customFormat="1" ht="24" customHeight="1" x14ac:dyDescent="0.35">
      <c r="A143" s="89" t="s">
        <v>355</v>
      </c>
      <c r="B143" s="36" t="s">
        <v>224</v>
      </c>
      <c r="C143" s="20" t="s">
        <v>21</v>
      </c>
      <c r="D143" s="21">
        <v>6</v>
      </c>
      <c r="E143" s="29" t="s">
        <v>356</v>
      </c>
      <c r="F143" s="21">
        <f>SUMPRODUCT(D143,1)</f>
        <v>6</v>
      </c>
      <c r="G143" s="22"/>
      <c r="H143" s="44"/>
    </row>
    <row r="144" spans="1:8" s="11" customFormat="1" ht="24" customHeight="1" x14ac:dyDescent="0.35">
      <c r="A144" s="89" t="s">
        <v>357</v>
      </c>
      <c r="B144" s="36" t="s">
        <v>330</v>
      </c>
      <c r="C144" s="20" t="s">
        <v>21</v>
      </c>
      <c r="D144" s="21">
        <v>6</v>
      </c>
      <c r="E144" s="68" t="s">
        <v>358</v>
      </c>
      <c r="F144" s="21">
        <f>SUMPRODUCT(D144,1)+3</f>
        <v>9</v>
      </c>
      <c r="G144" s="22">
        <f>100-SUMPRODUCT(D144,10)</f>
        <v>40</v>
      </c>
      <c r="H144" s="44"/>
    </row>
    <row r="145" spans="1:8" s="11" customFormat="1" ht="24" customHeight="1" x14ac:dyDescent="0.35">
      <c r="A145" s="89" t="s">
        <v>359</v>
      </c>
      <c r="B145" s="36" t="s">
        <v>232</v>
      </c>
      <c r="C145" s="20" t="s">
        <v>21</v>
      </c>
      <c r="D145" s="21">
        <v>6</v>
      </c>
      <c r="E145" s="29" t="s">
        <v>360</v>
      </c>
      <c r="F145" s="21" t="str">
        <f>CONCATENATE(SUMPRODUCT(D145,1),"%")</f>
        <v>6%</v>
      </c>
      <c r="G145" s="22"/>
      <c r="H145" s="44"/>
    </row>
    <row r="146" spans="1:8" s="11" customFormat="1" ht="24" customHeight="1" x14ac:dyDescent="0.35">
      <c r="A146" s="89" t="s">
        <v>361</v>
      </c>
      <c r="B146" s="36" t="s">
        <v>184</v>
      </c>
      <c r="C146" s="20" t="s">
        <v>21</v>
      </c>
      <c r="D146" s="21">
        <v>6</v>
      </c>
      <c r="E146" s="68" t="s">
        <v>468</v>
      </c>
      <c r="F146" s="21">
        <f>SUMPRODUCT(D146,0.2)</f>
        <v>1.2000000000000002</v>
      </c>
      <c r="G146" s="22"/>
      <c r="H146" s="44"/>
    </row>
    <row r="147" spans="1:8" s="11" customFormat="1" ht="24" customHeight="1" x14ac:dyDescent="0.35">
      <c r="A147" s="89" t="s">
        <v>362</v>
      </c>
      <c r="B147" s="36" t="s">
        <v>116</v>
      </c>
      <c r="C147" s="20" t="s">
        <v>21</v>
      </c>
      <c r="D147" s="21">
        <v>6</v>
      </c>
      <c r="E147" s="29" t="str">
        <f>CONCATENATE("拥有",SUMPRODUCT(D147,3)+10,"%","的机会在1秒后造成额外伤害")</f>
        <v>拥有28%的机会在1秒后造成额外伤害</v>
      </c>
      <c r="F147" s="21">
        <f>SUMPRODUCT(D147,2)</f>
        <v>12</v>
      </c>
      <c r="G147" s="22"/>
      <c r="H147" s="44"/>
    </row>
    <row r="148" spans="1:8" s="11" customFormat="1" ht="24" customHeight="1" x14ac:dyDescent="0.35">
      <c r="A148" s="89" t="s">
        <v>363</v>
      </c>
      <c r="B148" s="36" t="s">
        <v>8</v>
      </c>
      <c r="C148" s="20" t="s">
        <v>21</v>
      </c>
      <c r="D148" s="21">
        <v>6</v>
      </c>
      <c r="E148" s="29" t="str">
        <f>CONCATENATE("潜行左键召唤",SUMPRODUCT(D148,4),"个箭环并造成伤害")</f>
        <v>潜行左键召唤24个箭环并造成伤害</v>
      </c>
      <c r="F148" s="21">
        <f>SUMPRODUCT(D148,6)+5</f>
        <v>41</v>
      </c>
      <c r="G148" s="22">
        <v>25</v>
      </c>
      <c r="H148" s="44"/>
    </row>
    <row r="149" spans="1:8" s="11" customFormat="1" ht="24" customHeight="1" x14ac:dyDescent="0.35">
      <c r="A149" s="89" t="s">
        <v>364</v>
      </c>
      <c r="B149" s="36" t="s">
        <v>129</v>
      </c>
      <c r="C149" s="20" t="s">
        <v>21</v>
      </c>
      <c r="D149" s="21">
        <v>6</v>
      </c>
      <c r="E149" s="29" t="s">
        <v>365</v>
      </c>
      <c r="F149" s="21">
        <f>SUMPRODUCT(D149,1)</f>
        <v>6</v>
      </c>
      <c r="G149" s="22"/>
      <c r="H149" s="44"/>
    </row>
    <row r="150" spans="1:8" s="11" customFormat="1" ht="24" customHeight="1" x14ac:dyDescent="0.35">
      <c r="A150" s="89" t="s">
        <v>366</v>
      </c>
      <c r="B150" s="36" t="s">
        <v>116</v>
      </c>
      <c r="C150" s="20" t="s">
        <v>21</v>
      </c>
      <c r="D150" s="21">
        <v>6</v>
      </c>
      <c r="E150" s="29" t="s">
        <v>367</v>
      </c>
      <c r="F150" s="21">
        <f>SUMPRODUCT(D150,0.7)</f>
        <v>4.1999999999999993</v>
      </c>
      <c r="G150" s="22"/>
      <c r="H150" s="44"/>
    </row>
    <row r="151" spans="1:8" s="11" customFormat="1" ht="24" customHeight="1" x14ac:dyDescent="0.35">
      <c r="A151" s="89" t="s">
        <v>368</v>
      </c>
      <c r="B151" s="36" t="s">
        <v>330</v>
      </c>
      <c r="C151" s="20" t="s">
        <v>21</v>
      </c>
      <c r="D151" s="21">
        <v>6</v>
      </c>
      <c r="E151" s="29" t="s">
        <v>369</v>
      </c>
      <c r="F151" s="21" t="str">
        <f>CONCATENATE(SUMPRODUCT(D151,2),"%")</f>
        <v>12%</v>
      </c>
      <c r="G151" s="22"/>
      <c r="H151" s="44"/>
    </row>
    <row r="152" spans="1:8" s="11" customFormat="1" ht="24" customHeight="1" x14ac:dyDescent="0.35">
      <c r="A152" s="89" t="s">
        <v>370</v>
      </c>
      <c r="B152" s="36" t="s">
        <v>102</v>
      </c>
      <c r="C152" s="20" t="s">
        <v>21</v>
      </c>
      <c r="D152" s="21">
        <v>6</v>
      </c>
      <c r="E152" s="29" t="s">
        <v>371</v>
      </c>
      <c r="F152" s="21" t="str">
        <f>CONCATENATE(SUMPRODUCT(D152,10),"%")</f>
        <v>60%</v>
      </c>
      <c r="G152" s="22"/>
      <c r="H152" s="44"/>
    </row>
    <row r="153" spans="1:8" s="11" customFormat="1" ht="24" customHeight="1" x14ac:dyDescent="0.35">
      <c r="A153" s="89" t="s">
        <v>372</v>
      </c>
      <c r="B153" s="36" t="s">
        <v>218</v>
      </c>
      <c r="C153" s="20" t="s">
        <v>21</v>
      </c>
      <c r="D153" s="21">
        <v>6</v>
      </c>
      <c r="E153" s="29" t="s">
        <v>373</v>
      </c>
      <c r="F153" s="21">
        <f>SUMPRODUCT(D153,1)+3</f>
        <v>9</v>
      </c>
      <c r="G153" s="22"/>
      <c r="H153" s="44"/>
    </row>
    <row r="154" spans="1:8" s="11" customFormat="1" ht="28.75" customHeight="1" x14ac:dyDescent="0.35">
      <c r="A154" s="89" t="s">
        <v>374</v>
      </c>
      <c r="B154" s="36" t="s">
        <v>201</v>
      </c>
      <c r="C154" s="20" t="s">
        <v>21</v>
      </c>
      <c r="D154" s="21">
        <v>6</v>
      </c>
      <c r="E154" s="68" t="str">
        <f>CONCATENATE("在雷雨天勾住敌人有",SUMPRODUCT(D154,5)+25,"%","的几率召唤雷电对敌人造成伤害")</f>
        <v>在雷雨天勾住敌人有55%的几率召唤雷电对敌人造成伤害</v>
      </c>
      <c r="F154" s="21">
        <f>SUMPRODUCT(D154,1)+1</f>
        <v>7</v>
      </c>
      <c r="G154" s="22"/>
      <c r="H154" s="44"/>
    </row>
    <row r="155" spans="1:8" s="11" customFormat="1" ht="24" customHeight="1" x14ac:dyDescent="0.35">
      <c r="A155" s="89" t="s">
        <v>375</v>
      </c>
      <c r="B155" s="36" t="s">
        <v>204</v>
      </c>
      <c r="C155" s="20" t="s">
        <v>21</v>
      </c>
      <c r="D155" s="21">
        <v>6</v>
      </c>
      <c r="E155" s="29" t="s">
        <v>376</v>
      </c>
      <c r="F155" s="21">
        <f>SUMPRODUCT(D155,1)+3</f>
        <v>9</v>
      </c>
      <c r="G155" s="22"/>
      <c r="H155" s="44" t="s">
        <v>377</v>
      </c>
    </row>
    <row r="156" spans="1:8" s="11" customFormat="1" ht="24" customHeight="1" x14ac:dyDescent="0.35">
      <c r="A156" s="89" t="s">
        <v>378</v>
      </c>
      <c r="B156" s="36" t="s">
        <v>232</v>
      </c>
      <c r="C156" s="20" t="s">
        <v>21</v>
      </c>
      <c r="D156" s="21">
        <v>6</v>
      </c>
      <c r="E156" s="29" t="s">
        <v>379</v>
      </c>
      <c r="F156" s="21">
        <f>SUMPRODUCT(D156,6)+3</f>
        <v>39</v>
      </c>
      <c r="G156" s="22"/>
      <c r="H156" s="44"/>
    </row>
    <row r="157" spans="1:8" s="11" customFormat="1" ht="24" customHeight="1" x14ac:dyDescent="0.35">
      <c r="A157" s="89" t="s">
        <v>380</v>
      </c>
      <c r="B157" s="36" t="s">
        <v>8</v>
      </c>
      <c r="C157" s="20" t="s">
        <v>21</v>
      </c>
      <c r="D157" s="21">
        <v>6</v>
      </c>
      <c r="E157" s="29" t="str">
        <f>CONCATENATE("增加",SUMPRODUCT(D157,6),"%","的几率使敌人冻结几秒")</f>
        <v>增加36%的几率使敌人冻结几秒</v>
      </c>
      <c r="F157" s="21">
        <f>SUMPRODUCT(D157,0.35)</f>
        <v>2.0999999999999996</v>
      </c>
      <c r="G157" s="22"/>
      <c r="H157" s="44"/>
    </row>
    <row r="158" spans="1:8" s="11" customFormat="1" ht="24" customHeight="1" x14ac:dyDescent="0.35">
      <c r="A158" s="89" t="s">
        <v>381</v>
      </c>
      <c r="B158" s="36" t="s">
        <v>382</v>
      </c>
      <c r="C158" s="20" t="s">
        <v>21</v>
      </c>
      <c r="D158" s="21">
        <v>6</v>
      </c>
      <c r="E158" s="29" t="s">
        <v>383</v>
      </c>
      <c r="F158" s="21">
        <v>10</v>
      </c>
      <c r="G158" s="22">
        <f>90-SUMPRODUCT(D158,10)</f>
        <v>30</v>
      </c>
      <c r="H158" s="44"/>
    </row>
    <row r="159" spans="1:8" s="11" customFormat="1" ht="24" customHeight="1" x14ac:dyDescent="0.35">
      <c r="A159" s="89" t="s">
        <v>100</v>
      </c>
      <c r="B159" s="36" t="s">
        <v>166</v>
      </c>
      <c r="C159" s="20" t="s">
        <v>21</v>
      </c>
      <c r="D159" s="21">
        <v>3</v>
      </c>
      <c r="E159" s="75" t="s">
        <v>384</v>
      </c>
      <c r="F159" s="21" t="str">
        <f>CONCATENATE(SUMPRODUCT(D159,15),"%")</f>
        <v>45%</v>
      </c>
      <c r="G159" s="22"/>
      <c r="H159" s="44" t="s">
        <v>385</v>
      </c>
    </row>
    <row r="160" spans="1:8" s="11" customFormat="1" ht="24" customHeight="1" x14ac:dyDescent="0.35">
      <c r="A160" s="89" t="s">
        <v>386</v>
      </c>
      <c r="B160" s="36" t="s">
        <v>387</v>
      </c>
      <c r="C160" s="20" t="s">
        <v>21</v>
      </c>
      <c r="D160" s="21">
        <v>5</v>
      </c>
      <c r="E160" s="29" t="s">
        <v>388</v>
      </c>
      <c r="F160" s="21">
        <f>SUMPRODUCT(D160,2.5)</f>
        <v>12.5</v>
      </c>
      <c r="G160" s="22"/>
      <c r="H160" s="69" t="s">
        <v>536</v>
      </c>
    </row>
    <row r="161" spans="1:8" s="11" customFormat="1" ht="24" customHeight="1" x14ac:dyDescent="0.35">
      <c r="A161" s="89" t="s">
        <v>389</v>
      </c>
      <c r="B161" s="36"/>
      <c r="C161" s="20" t="s">
        <v>21</v>
      </c>
      <c r="D161" s="21">
        <v>3</v>
      </c>
      <c r="E161" s="29" t="s">
        <v>390</v>
      </c>
      <c r="F161" s="21"/>
      <c r="G161" s="22"/>
      <c r="H161" s="44"/>
    </row>
    <row r="162" spans="1:8" s="11" customFormat="1" ht="24" customHeight="1" x14ac:dyDescent="0.35">
      <c r="A162" s="89" t="s">
        <v>391</v>
      </c>
      <c r="B162" s="36" t="s">
        <v>201</v>
      </c>
      <c r="C162" s="20" t="s">
        <v>21</v>
      </c>
      <c r="D162" s="21">
        <v>4</v>
      </c>
      <c r="E162" s="29" t="s">
        <v>392</v>
      </c>
      <c r="F162" s="21" t="str">
        <f>CONCATENATE(SUMPRODUCT(D162,2),"%")</f>
        <v>8%</v>
      </c>
      <c r="G162" s="22"/>
      <c r="H162" s="44"/>
    </row>
    <row r="163" spans="1:8" s="11" customFormat="1" ht="24" customHeight="1" x14ac:dyDescent="0.35">
      <c r="A163" s="89" t="s">
        <v>393</v>
      </c>
      <c r="B163" s="36" t="s">
        <v>272</v>
      </c>
      <c r="C163" s="20" t="s">
        <v>21</v>
      </c>
      <c r="D163" s="21">
        <v>5</v>
      </c>
      <c r="E163" s="29" t="s">
        <v>394</v>
      </c>
      <c r="F163" s="21" t="str">
        <f>CONCATENATE(SUMPRODUCT(D163,25)+125,"%")</f>
        <v>250%</v>
      </c>
      <c r="G163" s="22"/>
      <c r="H163" s="44" t="s">
        <v>395</v>
      </c>
    </row>
    <row r="164" spans="1:8" s="11" customFormat="1" ht="50.7" customHeight="1" x14ac:dyDescent="0.35">
      <c r="A164" s="89" t="s">
        <v>270</v>
      </c>
      <c r="B164" s="36" t="s">
        <v>116</v>
      </c>
      <c r="C164" s="20" t="s">
        <v>21</v>
      </c>
      <c r="D164" s="21">
        <v>5</v>
      </c>
      <c r="E164" s="29" t="s">
        <v>344</v>
      </c>
      <c r="F164" s="21">
        <f>SUMPRODUCT(D164,0.5)+1</f>
        <v>3.5</v>
      </c>
      <c r="G164" s="22"/>
      <c r="H164" s="44" t="s">
        <v>537</v>
      </c>
    </row>
    <row r="165" spans="1:8" s="11" customFormat="1" ht="28.4" customHeight="1" x14ac:dyDescent="0.35">
      <c r="A165" s="89" t="s">
        <v>396</v>
      </c>
      <c r="B165" s="36" t="s">
        <v>184</v>
      </c>
      <c r="C165" s="20" t="s">
        <v>21</v>
      </c>
      <c r="D165" s="21"/>
      <c r="E165" s="29" t="s">
        <v>469</v>
      </c>
      <c r="F165" s="21"/>
      <c r="G165" s="22"/>
      <c r="H165" s="44" t="s">
        <v>397</v>
      </c>
    </row>
    <row r="166" spans="1:8" s="11" customFormat="1" ht="24" customHeight="1" x14ac:dyDescent="0.35">
      <c r="A166" s="89" t="s">
        <v>398</v>
      </c>
      <c r="B166" s="36" t="s">
        <v>399</v>
      </c>
      <c r="C166" s="20" t="s">
        <v>21</v>
      </c>
      <c r="D166" s="21">
        <v>4</v>
      </c>
      <c r="E166" s="29" t="s">
        <v>400</v>
      </c>
      <c r="F166" s="21" t="str">
        <f>CONCATENATE(SUMPRODUCT(D166,15),"%")</f>
        <v>60%</v>
      </c>
      <c r="G166" s="22"/>
      <c r="H166" s="44" t="s">
        <v>401</v>
      </c>
    </row>
    <row r="167" spans="1:8" s="11" customFormat="1" ht="35.700000000000003" customHeight="1" x14ac:dyDescent="0.35">
      <c r="A167" s="89" t="s">
        <v>402</v>
      </c>
      <c r="B167" s="36" t="s">
        <v>387</v>
      </c>
      <c r="C167" s="20" t="s">
        <v>21</v>
      </c>
      <c r="D167" s="21">
        <v>5</v>
      </c>
      <c r="E167" s="29" t="s">
        <v>403</v>
      </c>
      <c r="F167" s="21">
        <f>SUMPRODUCT(D167,2.5)</f>
        <v>12.5</v>
      </c>
      <c r="G167" s="22"/>
      <c r="H167" s="44" t="s">
        <v>538</v>
      </c>
    </row>
    <row r="168" spans="1:8" s="11" customFormat="1" ht="24" customHeight="1" x14ac:dyDescent="0.35">
      <c r="A168" s="89" t="s">
        <v>404</v>
      </c>
      <c r="B168" s="36" t="s">
        <v>295</v>
      </c>
      <c r="C168" s="20" t="s">
        <v>21</v>
      </c>
      <c r="D168" s="21">
        <v>5</v>
      </c>
      <c r="E168" s="29" t="s">
        <v>405</v>
      </c>
      <c r="F168" s="21" t="str">
        <f>CONCATENATE(SUMPRODUCT(D168,5)+20,"%")</f>
        <v>45%</v>
      </c>
      <c r="G168" s="22"/>
      <c r="H168" s="44"/>
    </row>
    <row r="169" spans="1:8" s="11" customFormat="1" ht="24" customHeight="1" x14ac:dyDescent="0.35">
      <c r="A169" s="89" t="s">
        <v>406</v>
      </c>
      <c r="B169" s="36" t="s">
        <v>295</v>
      </c>
      <c r="C169" s="20" t="s">
        <v>21</v>
      </c>
      <c r="D169" s="21">
        <v>3</v>
      </c>
      <c r="E169" s="29" t="s">
        <v>407</v>
      </c>
      <c r="F169" s="21"/>
      <c r="G169" s="22"/>
      <c r="H169" s="44" t="s">
        <v>408</v>
      </c>
    </row>
    <row r="170" spans="1:8" s="11" customFormat="1" ht="24" customHeight="1" x14ac:dyDescent="0.35">
      <c r="A170" s="89" t="s">
        <v>409</v>
      </c>
      <c r="B170" s="36" t="s">
        <v>399</v>
      </c>
      <c r="C170" s="20" t="s">
        <v>21</v>
      </c>
      <c r="D170" s="21">
        <v>5</v>
      </c>
      <c r="E170" s="29" t="s">
        <v>410</v>
      </c>
      <c r="F170" s="21">
        <f>SUMPRODUCT(D170,0.5)</f>
        <v>2.5</v>
      </c>
      <c r="G170" s="22"/>
      <c r="H170" s="44" t="s">
        <v>411</v>
      </c>
    </row>
    <row r="171" spans="1:8" s="11" customFormat="1" ht="24" customHeight="1" x14ac:dyDescent="0.35">
      <c r="A171" s="89" t="s">
        <v>412</v>
      </c>
      <c r="B171" s="36" t="s">
        <v>184</v>
      </c>
      <c r="C171" s="20" t="s">
        <v>21</v>
      </c>
      <c r="D171" s="21"/>
      <c r="E171" s="29" t="s">
        <v>413</v>
      </c>
      <c r="F171" s="21"/>
      <c r="G171" s="22"/>
      <c r="H171" s="44" t="s">
        <v>396</v>
      </c>
    </row>
    <row r="172" spans="1:8" s="11" customFormat="1" ht="24" customHeight="1" x14ac:dyDescent="0.35">
      <c r="A172" s="89" t="s">
        <v>117</v>
      </c>
      <c r="B172" s="36" t="s">
        <v>114</v>
      </c>
      <c r="C172" s="20" t="s">
        <v>21</v>
      </c>
      <c r="D172" s="21">
        <v>3</v>
      </c>
      <c r="E172" s="75" t="str">
        <f>CONCATENATE("增加",SUMPRODUCT(D172,1),"个最大普通掉落物,有几率获得稀有掉落")</f>
        <v>增加3个最大普通掉落物,有几率获得稀有掉落</v>
      </c>
      <c r="F172" s="21" t="str">
        <f>CONCATENATE(SUMPRODUCT(D172,1),"%")</f>
        <v>3%</v>
      </c>
      <c r="G172" s="22"/>
      <c r="H172" s="44"/>
    </row>
    <row r="173" spans="1:8" s="11" customFormat="1" ht="24" customHeight="1" x14ac:dyDescent="0.35">
      <c r="A173" s="89" t="s">
        <v>414</v>
      </c>
      <c r="B173" s="36" t="s">
        <v>163</v>
      </c>
      <c r="C173" s="20" t="s">
        <v>21</v>
      </c>
      <c r="D173" s="21">
        <v>3</v>
      </c>
      <c r="E173" s="29" t="s">
        <v>415</v>
      </c>
      <c r="F173" s="21">
        <f>SUMPRODUCT(D173,0.25)</f>
        <v>0.75</v>
      </c>
      <c r="G173" s="22"/>
      <c r="H173" s="44"/>
    </row>
    <row r="174" spans="1:8" s="11" customFormat="1" ht="24" customHeight="1" x14ac:dyDescent="0.35">
      <c r="A174" s="89" t="s">
        <v>281</v>
      </c>
      <c r="B174" s="36" t="s">
        <v>163</v>
      </c>
      <c r="C174" s="20" t="s">
        <v>21</v>
      </c>
      <c r="D174" s="21"/>
      <c r="E174" s="29" t="s">
        <v>416</v>
      </c>
      <c r="F174" s="21"/>
      <c r="G174" s="22"/>
      <c r="H174" s="44" t="s">
        <v>417</v>
      </c>
    </row>
    <row r="175" spans="1:8" s="11" customFormat="1" ht="24" customHeight="1" x14ac:dyDescent="0.35">
      <c r="A175" s="89" t="s">
        <v>418</v>
      </c>
      <c r="B175" s="36" t="s">
        <v>399</v>
      </c>
      <c r="C175" s="20" t="s">
        <v>21</v>
      </c>
      <c r="D175" s="21">
        <v>3</v>
      </c>
      <c r="E175" s="29" t="s">
        <v>419</v>
      </c>
      <c r="F175" s="21">
        <f>SUMPRODUCT(D175,0.35)+1.15</f>
        <v>2.1999999999999997</v>
      </c>
      <c r="G175" s="22"/>
      <c r="H175" s="44"/>
    </row>
    <row r="176" spans="1:8" s="11" customFormat="1" ht="24" customHeight="1" x14ac:dyDescent="0.35">
      <c r="A176" s="89" t="s">
        <v>471</v>
      </c>
      <c r="B176" s="36" t="s">
        <v>8</v>
      </c>
      <c r="C176" s="20" t="s">
        <v>21</v>
      </c>
      <c r="D176" s="21">
        <v>6</v>
      </c>
      <c r="E176" s="29" t="s">
        <v>472</v>
      </c>
      <c r="F176" s="21">
        <f t="shared" ref="F176" si="2">SUMPRODUCT(D176,2)</f>
        <v>12</v>
      </c>
      <c r="G176" s="22"/>
      <c r="H176" s="44"/>
    </row>
    <row r="177" spans="1:8" s="11" customFormat="1" ht="24" customHeight="1" x14ac:dyDescent="0.35">
      <c r="A177" s="89" t="s">
        <v>473</v>
      </c>
      <c r="B177" s="36" t="s">
        <v>114</v>
      </c>
      <c r="C177" s="20" t="s">
        <v>21</v>
      </c>
      <c r="D177" s="21">
        <v>6</v>
      </c>
      <c r="E177" s="29" t="s">
        <v>474</v>
      </c>
      <c r="F177" s="21">
        <f>SUMPRODUCT(D177,10)</f>
        <v>60</v>
      </c>
      <c r="G177" s="22">
        <f>200-SUMPRODUCT(D177,25)</f>
        <v>50</v>
      </c>
      <c r="H177" s="44"/>
    </row>
    <row r="178" spans="1:8" s="11" customFormat="1" ht="24" customHeight="1" x14ac:dyDescent="0.35">
      <c r="A178" s="89" t="s">
        <v>475</v>
      </c>
      <c r="B178" s="36" t="s">
        <v>240</v>
      </c>
      <c r="C178" s="20" t="s">
        <v>21</v>
      </c>
      <c r="D178" s="21">
        <v>6</v>
      </c>
      <c r="E178" s="29" t="s">
        <v>476</v>
      </c>
      <c r="F178" s="21">
        <f>SUMPRODUCT(D178,4)+2</f>
        <v>26</v>
      </c>
      <c r="G178" s="22"/>
      <c r="H178" s="44"/>
    </row>
    <row r="179" spans="1:8" s="11" customFormat="1" ht="24" customHeight="1" x14ac:dyDescent="0.35">
      <c r="A179" s="89" t="s">
        <v>477</v>
      </c>
      <c r="B179" s="36" t="s">
        <v>114</v>
      </c>
      <c r="C179" s="20" t="s">
        <v>21</v>
      </c>
      <c r="D179" s="21">
        <v>6</v>
      </c>
      <c r="E179" s="29" t="s">
        <v>478</v>
      </c>
      <c r="F179" s="21" t="str">
        <f>CONCATENATE(SUMPRODUCT(D179,1),"%")</f>
        <v>6%</v>
      </c>
      <c r="G179" s="22"/>
      <c r="H179" s="44"/>
    </row>
    <row r="180" spans="1:8" s="11" customFormat="1" ht="24" customHeight="1" x14ac:dyDescent="0.35">
      <c r="A180" s="89" t="s">
        <v>479</v>
      </c>
      <c r="B180" s="36" t="s">
        <v>184</v>
      </c>
      <c r="C180" s="20" t="s">
        <v>21</v>
      </c>
      <c r="D180" s="21">
        <v>6</v>
      </c>
      <c r="E180" s="29" t="s">
        <v>480</v>
      </c>
      <c r="F180" s="21" t="str">
        <f>CONCATENATE(SUMPRODUCT(D180,4),"%")</f>
        <v>24%</v>
      </c>
      <c r="G180" s="22"/>
      <c r="H180" s="44"/>
    </row>
    <row r="181" spans="1:8" s="11" customFormat="1" ht="33.9" customHeight="1" x14ac:dyDescent="0.35">
      <c r="A181" s="89" t="s">
        <v>481</v>
      </c>
      <c r="B181" s="36" t="s">
        <v>8</v>
      </c>
      <c r="C181" s="20" t="s">
        <v>21</v>
      </c>
      <c r="D181" s="21">
        <v>6</v>
      </c>
      <c r="E181" s="29" t="s">
        <v>482</v>
      </c>
      <c r="F181" s="21"/>
      <c r="G181" s="22">
        <f>80-SUMPRODUCT(D181,8)</f>
        <v>32</v>
      </c>
      <c r="H181" s="44"/>
    </row>
    <row r="182" spans="1:8" s="11" customFormat="1" ht="24" customHeight="1" x14ac:dyDescent="0.35">
      <c r="A182" s="89" t="s">
        <v>483</v>
      </c>
      <c r="B182" s="36" t="s">
        <v>166</v>
      </c>
      <c r="C182" s="20" t="s">
        <v>21</v>
      </c>
      <c r="D182" s="21">
        <v>6</v>
      </c>
      <c r="E182" s="29" t="s">
        <v>484</v>
      </c>
      <c r="F182" s="21">
        <f>SUMPRODUCT(D182,10)</f>
        <v>60</v>
      </c>
      <c r="G182" s="22">
        <f>200-SUMPRODUCT(D182,25)</f>
        <v>50</v>
      </c>
      <c r="H182" s="44"/>
    </row>
    <row r="183" spans="1:8" s="11" customFormat="1" ht="24" customHeight="1" x14ac:dyDescent="0.35">
      <c r="A183" s="89" t="s">
        <v>485</v>
      </c>
      <c r="B183" s="36" t="s">
        <v>240</v>
      </c>
      <c r="C183" s="20" t="s">
        <v>21</v>
      </c>
      <c r="D183" s="21">
        <v>6</v>
      </c>
      <c r="E183" s="68" t="str">
        <f>CONCATENATE("有",SUMPRODUCT(D183,10),"%","几率使敌人每秒流血",SUMPRODUCT(D183,0.5),"点持续几秒")</f>
        <v>有60%几率使敌人每秒流血3点持续几秒</v>
      </c>
      <c r="F183" s="21">
        <f>SUMPRODUCT(D183,1)+2</f>
        <v>8</v>
      </c>
      <c r="G183" s="22"/>
      <c r="H183" s="44"/>
    </row>
    <row r="184" spans="1:8" s="11" customFormat="1" ht="24" customHeight="1" x14ac:dyDescent="0.35">
      <c r="A184" s="90" t="s">
        <v>75</v>
      </c>
      <c r="B184" s="37" t="s">
        <v>70</v>
      </c>
      <c r="C184" s="23" t="s">
        <v>31</v>
      </c>
      <c r="D184" s="24">
        <v>6</v>
      </c>
      <c r="E184" s="30" t="s">
        <v>76</v>
      </c>
      <c r="F184" s="24" t="str">
        <f>IF(D184&lt;4,"1","2")</f>
        <v>2</v>
      </c>
      <c r="G184" s="25"/>
      <c r="H184" s="45"/>
    </row>
    <row r="185" spans="1:8" s="11" customFormat="1" ht="24" customHeight="1" x14ac:dyDescent="0.35">
      <c r="A185" s="90" t="s">
        <v>73</v>
      </c>
      <c r="B185" s="37" t="s">
        <v>74</v>
      </c>
      <c r="C185" s="23" t="s">
        <v>31</v>
      </c>
      <c r="D185" s="24">
        <v>6</v>
      </c>
      <c r="E185" s="30" t="s">
        <v>77</v>
      </c>
      <c r="F185" s="24" t="str">
        <f>IF(D185&lt;3,"1",IF(D185&lt;6,"2","3"))</f>
        <v>3</v>
      </c>
      <c r="G185" s="25"/>
      <c r="H185" s="45"/>
    </row>
    <row r="186" spans="1:8" s="11" customFormat="1" ht="24" customHeight="1" x14ac:dyDescent="0.35">
      <c r="A186" s="90" t="s">
        <v>37</v>
      </c>
      <c r="B186" s="37" t="s">
        <v>19</v>
      </c>
      <c r="C186" s="23" t="s">
        <v>31</v>
      </c>
      <c r="D186" s="24">
        <v>6</v>
      </c>
      <c r="E186" s="30" t="s">
        <v>38</v>
      </c>
      <c r="F186" s="24" t="str">
        <f>CONCATENATE(SUMPRODUCT(D186,0.5),"%")</f>
        <v>3%</v>
      </c>
      <c r="G186" s="25"/>
      <c r="H186" s="45"/>
    </row>
    <row r="187" spans="1:8" s="11" customFormat="1" ht="24" customHeight="1" x14ac:dyDescent="0.35">
      <c r="A187" s="90" t="s">
        <v>34</v>
      </c>
      <c r="B187" s="37" t="s">
        <v>13</v>
      </c>
      <c r="C187" s="23" t="s">
        <v>31</v>
      </c>
      <c r="D187" s="24">
        <v>6</v>
      </c>
      <c r="E187" s="30" t="s">
        <v>35</v>
      </c>
      <c r="F187" s="24">
        <f>SUMPRODUCT(D187,2)+4</f>
        <v>16</v>
      </c>
      <c r="G187" s="25">
        <f>26-SUMPRODUCT(D187,2)</f>
        <v>14</v>
      </c>
      <c r="H187" s="45"/>
    </row>
    <row r="188" spans="1:8" s="11" customFormat="1" ht="24" customHeight="1" x14ac:dyDescent="0.35">
      <c r="A188" s="90" t="s">
        <v>32</v>
      </c>
      <c r="B188" s="37" t="s">
        <v>33</v>
      </c>
      <c r="C188" s="23" t="s">
        <v>31</v>
      </c>
      <c r="D188" s="24">
        <v>6</v>
      </c>
      <c r="E188" s="49" t="str">
        <f>CONCATENATE("潜行右键释放冲击波 击飞",SUMPRODUCT(D188,0.5)+2,"格 造成伤害")</f>
        <v>潜行右键释放冲击波 击飞5格 造成伤害</v>
      </c>
      <c r="F188" s="24">
        <f t="shared" ref="F188" si="3">SUMPRODUCT(D188,2)</f>
        <v>12</v>
      </c>
      <c r="G188" s="25">
        <v>40</v>
      </c>
      <c r="H188" s="45"/>
    </row>
    <row r="189" spans="1:8" s="11" customFormat="1" ht="24" customHeight="1" x14ac:dyDescent="0.35">
      <c r="A189" s="90" t="s">
        <v>420</v>
      </c>
      <c r="B189" s="37" t="s">
        <v>351</v>
      </c>
      <c r="C189" s="23" t="s">
        <v>31</v>
      </c>
      <c r="D189" s="24">
        <v>6</v>
      </c>
      <c r="E189" s="30" t="s">
        <v>421</v>
      </c>
      <c r="F189" s="24" t="str">
        <f>CONCATENATE(SUMPRODUCT(D189,5),"%")</f>
        <v>30%</v>
      </c>
      <c r="G189" s="25"/>
      <c r="H189" s="45" t="s">
        <v>293</v>
      </c>
    </row>
    <row r="190" spans="1:8" s="11" customFormat="1" ht="24" customHeight="1" x14ac:dyDescent="0.35">
      <c r="A190" s="90" t="s">
        <v>422</v>
      </c>
      <c r="B190" s="37" t="s">
        <v>163</v>
      </c>
      <c r="C190" s="23" t="s">
        <v>31</v>
      </c>
      <c r="D190" s="24">
        <v>6</v>
      </c>
      <c r="E190" s="30" t="s">
        <v>423</v>
      </c>
      <c r="F190" s="24">
        <f>SUMPRODUCT(D190,1)</f>
        <v>6</v>
      </c>
      <c r="G190" s="25">
        <f>90-SUMPRODUCT(D190,10)</f>
        <v>30</v>
      </c>
      <c r="H190" s="45" t="s">
        <v>281</v>
      </c>
    </row>
    <row r="191" spans="1:8" s="11" customFormat="1" ht="24" customHeight="1" x14ac:dyDescent="0.35">
      <c r="A191" s="90" t="s">
        <v>424</v>
      </c>
      <c r="B191" s="37" t="s">
        <v>166</v>
      </c>
      <c r="C191" s="23" t="s">
        <v>31</v>
      </c>
      <c r="D191" s="24">
        <v>6</v>
      </c>
      <c r="E191" s="30" t="s">
        <v>425</v>
      </c>
      <c r="F191" s="24">
        <f>SUMPRODUCT(D191,1)</f>
        <v>6</v>
      </c>
      <c r="G191" s="25"/>
      <c r="H191" s="45"/>
    </row>
    <row r="192" spans="1:8" s="11" customFormat="1" ht="24" customHeight="1" x14ac:dyDescent="0.35">
      <c r="A192" s="90" t="s">
        <v>426</v>
      </c>
      <c r="B192" s="37" t="s">
        <v>201</v>
      </c>
      <c r="C192" s="23" t="s">
        <v>31</v>
      </c>
      <c r="D192" s="24">
        <v>6</v>
      </c>
      <c r="E192" s="30" t="s">
        <v>427</v>
      </c>
      <c r="F192" s="24" t="str">
        <f>CONCATENATE(SUMPRODUCT(D192,5),"%")</f>
        <v>30%</v>
      </c>
      <c r="G192" s="25"/>
      <c r="H192" s="45"/>
    </row>
    <row r="193" spans="1:8" s="11" customFormat="1" ht="24" customHeight="1" x14ac:dyDescent="0.35">
      <c r="A193" s="90" t="s">
        <v>428</v>
      </c>
      <c r="B193" s="37" t="s">
        <v>127</v>
      </c>
      <c r="C193" s="23" t="s">
        <v>31</v>
      </c>
      <c r="D193" s="24">
        <v>6</v>
      </c>
      <c r="E193" s="30" t="str">
        <f>CONCATENATE("死亡时自爆同时对",SUMPRODUCT(D193,0.5),"格内造成伤害")</f>
        <v>死亡时自爆同时对3格内造成伤害</v>
      </c>
      <c r="F193" s="24">
        <f>SUMPRODUCT(D193,5)</f>
        <v>30</v>
      </c>
      <c r="G193" s="25"/>
      <c r="H193" s="45"/>
    </row>
    <row r="194" spans="1:8" s="11" customFormat="1" ht="24" customHeight="1" x14ac:dyDescent="0.35">
      <c r="A194" s="90" t="s">
        <v>429</v>
      </c>
      <c r="B194" s="37" t="s">
        <v>114</v>
      </c>
      <c r="C194" s="23" t="s">
        <v>31</v>
      </c>
      <c r="D194" s="24">
        <v>5</v>
      </c>
      <c r="E194" s="30" t="s">
        <v>430</v>
      </c>
      <c r="F194" s="24">
        <f>SUMPRODUCT(D194,3)</f>
        <v>15</v>
      </c>
      <c r="G194" s="25"/>
      <c r="H194" s="45"/>
    </row>
    <row r="195" spans="1:8" s="11" customFormat="1" ht="24" customHeight="1" x14ac:dyDescent="0.35">
      <c r="A195" s="90" t="s">
        <v>431</v>
      </c>
      <c r="B195" s="37" t="s">
        <v>432</v>
      </c>
      <c r="C195" s="23" t="s">
        <v>31</v>
      </c>
      <c r="D195" s="24">
        <v>6</v>
      </c>
      <c r="E195" s="30" t="s">
        <v>433</v>
      </c>
      <c r="F195" s="24">
        <f>SUMPRODUCT(D195,1)</f>
        <v>6</v>
      </c>
      <c r="G195" s="25"/>
      <c r="H195" s="45"/>
    </row>
    <row r="196" spans="1:8" s="11" customFormat="1" ht="24" customHeight="1" x14ac:dyDescent="0.35">
      <c r="A196" s="90" t="s">
        <v>434</v>
      </c>
      <c r="B196" s="37" t="s">
        <v>330</v>
      </c>
      <c r="C196" s="23" t="s">
        <v>31</v>
      </c>
      <c r="D196" s="24">
        <v>6</v>
      </c>
      <c r="E196" s="30" t="str">
        <f>CONCATENATE("对",SUMPRODUCT(D196,1)+2,"方块内的玩家造成伤害")</f>
        <v>对8方块内的玩家造成伤害</v>
      </c>
      <c r="F196" s="24">
        <f>SUMPRODUCT(D196,4)</f>
        <v>24</v>
      </c>
      <c r="G196" s="25">
        <f>66-SUMPRODUCT(D196,6)</f>
        <v>30</v>
      </c>
      <c r="H196" s="45"/>
    </row>
    <row r="197" spans="1:8" s="11" customFormat="1" ht="24" customHeight="1" x14ac:dyDescent="0.35">
      <c r="A197" s="90" t="s">
        <v>435</v>
      </c>
      <c r="B197" s="37" t="s">
        <v>114</v>
      </c>
      <c r="C197" s="23" t="s">
        <v>31</v>
      </c>
      <c r="D197" s="24">
        <v>6</v>
      </c>
      <c r="E197" s="49" t="str">
        <f>CONCATENATE("增加近战伤害但有",SUMPRODUCT(D197,10),"%","概率增加",SUMPRODUCT(D197,4)+4,"点伤害")</f>
        <v>增加近战伤害但有60%概率增加28点伤害</v>
      </c>
      <c r="F197" s="24">
        <f>SUMPRODUCT(D197,2)</f>
        <v>12</v>
      </c>
      <c r="G197" s="25"/>
      <c r="H197" s="45"/>
    </row>
    <row r="198" spans="1:8" s="11" customFormat="1" ht="24" customHeight="1" x14ac:dyDescent="0.35">
      <c r="A198" s="90" t="s">
        <v>436</v>
      </c>
      <c r="B198" s="37" t="s">
        <v>224</v>
      </c>
      <c r="C198" s="23" t="s">
        <v>31</v>
      </c>
      <c r="D198" s="24">
        <v>6</v>
      </c>
      <c r="E198" s="49" t="str">
        <f>CONCATENATE("使",SUMPRODUCT(D198,2)+3,"方块内的可疑方块发光,持续几秒")</f>
        <v>使15方块内的可疑方块发光,持续几秒</v>
      </c>
      <c r="F198" s="24">
        <f>SUMPRODUCT(D198,1)+1</f>
        <v>7</v>
      </c>
      <c r="G198" s="25">
        <f>200-SUMPRODUCT(D198,10)</f>
        <v>140</v>
      </c>
      <c r="H198" s="45"/>
    </row>
    <row r="199" spans="1:8" s="11" customFormat="1" ht="24" customHeight="1" x14ac:dyDescent="0.35">
      <c r="A199" s="90" t="s">
        <v>437</v>
      </c>
      <c r="B199" s="37" t="s">
        <v>114</v>
      </c>
      <c r="C199" s="23" t="s">
        <v>31</v>
      </c>
      <c r="D199" s="24">
        <v>6</v>
      </c>
      <c r="E199" s="30" t="s">
        <v>344</v>
      </c>
      <c r="F199" s="24">
        <f>SUMPRODUCT(D199,3)</f>
        <v>18</v>
      </c>
      <c r="G199" s="25"/>
      <c r="H199" s="45"/>
    </row>
    <row r="200" spans="1:8" s="11" customFormat="1" ht="24" customHeight="1" x14ac:dyDescent="0.35">
      <c r="A200" s="90" t="s">
        <v>438</v>
      </c>
      <c r="B200" s="37" t="s">
        <v>102</v>
      </c>
      <c r="C200" s="23" t="s">
        <v>31</v>
      </c>
      <c r="D200" s="24">
        <v>6</v>
      </c>
      <c r="E200" s="30" t="s">
        <v>439</v>
      </c>
      <c r="F200" s="24" t="str">
        <f>CONCATENATE(SUMPRODUCT(D200,10),"%")</f>
        <v>60%</v>
      </c>
      <c r="G200" s="25"/>
      <c r="H200" s="45"/>
    </row>
    <row r="201" spans="1:8" s="11" customFormat="1" ht="24" customHeight="1" x14ac:dyDescent="0.35">
      <c r="A201" s="90" t="s">
        <v>440</v>
      </c>
      <c r="B201" s="37" t="s">
        <v>8</v>
      </c>
      <c r="C201" s="23" t="s">
        <v>31</v>
      </c>
      <c r="D201" s="24">
        <v>6</v>
      </c>
      <c r="E201" s="30" t="s">
        <v>441</v>
      </c>
      <c r="F201" s="24">
        <f>SUMPRODUCT(D201,1)+8</f>
        <v>14</v>
      </c>
      <c r="G201" s="25"/>
      <c r="H201" s="45"/>
    </row>
    <row r="202" spans="1:8" s="11" customFormat="1" ht="31.4" customHeight="1" x14ac:dyDescent="0.35">
      <c r="A202" s="90" t="s">
        <v>442</v>
      </c>
      <c r="B202" s="37" t="s">
        <v>127</v>
      </c>
      <c r="C202" s="23" t="s">
        <v>31</v>
      </c>
      <c r="D202" s="24">
        <v>6</v>
      </c>
      <c r="E202" s="30" t="s">
        <v>443</v>
      </c>
      <c r="F202" s="24">
        <f>SUMPRODUCT(D202,1)+1</f>
        <v>7</v>
      </c>
      <c r="G202" s="25">
        <v>25</v>
      </c>
      <c r="H202" s="45"/>
    </row>
    <row r="203" spans="1:8" s="11" customFormat="1" ht="24" customHeight="1" x14ac:dyDescent="0.35">
      <c r="A203" s="90" t="s">
        <v>486</v>
      </c>
      <c r="B203" s="37" t="s">
        <v>166</v>
      </c>
      <c r="C203" s="23" t="s">
        <v>31</v>
      </c>
      <c r="D203" s="24">
        <v>6</v>
      </c>
      <c r="E203" s="30" t="s">
        <v>487</v>
      </c>
      <c r="F203" s="24" t="str">
        <f>CONCATENATE(SUMPRODUCT(D203,0.5),"%")</f>
        <v>3%</v>
      </c>
      <c r="G203" s="25"/>
      <c r="H203" s="45" t="s">
        <v>488</v>
      </c>
    </row>
    <row r="204" spans="1:8" s="11" customFormat="1" ht="24" customHeight="1" x14ac:dyDescent="0.35">
      <c r="A204" s="90" t="s">
        <v>489</v>
      </c>
      <c r="B204" s="37" t="s">
        <v>8</v>
      </c>
      <c r="C204" s="23" t="s">
        <v>31</v>
      </c>
      <c r="D204" s="24">
        <v>6</v>
      </c>
      <c r="E204" s="30" t="s">
        <v>490</v>
      </c>
      <c r="F204" s="24">
        <f>SUMPRODUCT(D204,8)</f>
        <v>48</v>
      </c>
      <c r="G204" s="25"/>
      <c r="H204" s="45"/>
    </row>
    <row r="205" spans="1:8" s="11" customFormat="1" ht="24" customHeight="1" x14ac:dyDescent="0.35">
      <c r="A205" s="90" t="s">
        <v>491</v>
      </c>
      <c r="B205" s="37" t="s">
        <v>343</v>
      </c>
      <c r="C205" s="23" t="s">
        <v>31</v>
      </c>
      <c r="D205" s="24">
        <v>6</v>
      </c>
      <c r="E205" s="30" t="s">
        <v>492</v>
      </c>
      <c r="F205" s="24" t="str">
        <f>CONCATENATE(SUMPRODUCT(D205,10),"%")</f>
        <v>60%</v>
      </c>
      <c r="G205" s="25"/>
      <c r="H205" s="45"/>
    </row>
    <row r="206" spans="1:8" s="11" customFormat="1" ht="24" customHeight="1" x14ac:dyDescent="0.35">
      <c r="A206" s="90" t="s">
        <v>493</v>
      </c>
      <c r="B206" s="37" t="s">
        <v>232</v>
      </c>
      <c r="C206" s="23" t="s">
        <v>31</v>
      </c>
      <c r="D206" s="24">
        <v>6</v>
      </c>
      <c r="E206" s="30" t="s">
        <v>494</v>
      </c>
      <c r="F206" s="24">
        <f>SUMPRODUCT(D206,3)+9</f>
        <v>27</v>
      </c>
      <c r="G206" s="25">
        <f>150-SUMPRODUCT(D206,10)</f>
        <v>90</v>
      </c>
      <c r="H206" s="45"/>
    </row>
    <row r="207" spans="1:8" s="11" customFormat="1" ht="24" customHeight="1" x14ac:dyDescent="0.35">
      <c r="A207" s="90" t="s">
        <v>495</v>
      </c>
      <c r="B207" s="37" t="s">
        <v>163</v>
      </c>
      <c r="C207" s="23" t="s">
        <v>31</v>
      </c>
      <c r="D207" s="24">
        <v>6</v>
      </c>
      <c r="E207" s="30" t="s">
        <v>496</v>
      </c>
      <c r="F207" s="24">
        <f>SUMPRODUCT(D207,3)</f>
        <v>18</v>
      </c>
      <c r="G207" s="25">
        <f t="shared" ref="G207" si="4">38-SUMPRODUCT(D207,2)</f>
        <v>26</v>
      </c>
      <c r="H207" s="45"/>
    </row>
    <row r="208" spans="1:8" s="11" customFormat="1" ht="24" customHeight="1" x14ac:dyDescent="0.35">
      <c r="A208" s="90" t="s">
        <v>488</v>
      </c>
      <c r="B208" s="37" t="s">
        <v>102</v>
      </c>
      <c r="C208" s="23" t="s">
        <v>31</v>
      </c>
      <c r="D208" s="24">
        <v>6</v>
      </c>
      <c r="E208" s="30" t="s">
        <v>497</v>
      </c>
      <c r="F208" s="24">
        <f>SUMPRODUCT(D208,0.8)</f>
        <v>4.8000000000000007</v>
      </c>
      <c r="G208" s="25"/>
      <c r="H208" s="45" t="s">
        <v>486</v>
      </c>
    </row>
    <row r="209" spans="1:8" s="11" customFormat="1" ht="24" customHeight="1" x14ac:dyDescent="0.35">
      <c r="A209" s="90" t="s">
        <v>341</v>
      </c>
      <c r="B209" s="37" t="s">
        <v>184</v>
      </c>
      <c r="C209" s="23" t="s">
        <v>31</v>
      </c>
      <c r="D209" s="24">
        <v>6</v>
      </c>
      <c r="E209" s="30" t="str">
        <f>CONCATENATE("潜行时发射或使用三叉戟攻击时对",SUMPRODUCT(D209,1),"方块内的敌人造成额外伤害")</f>
        <v>潜行时发射或使用三叉戟攻击时对6方块内的敌人造成额外伤害</v>
      </c>
      <c r="F209" s="24">
        <f>SUMPRODUCT(D209,5)+5</f>
        <v>35</v>
      </c>
      <c r="G209" s="25">
        <v>40</v>
      </c>
      <c r="H209" s="45" t="s">
        <v>498</v>
      </c>
    </row>
    <row r="210" spans="1:8" s="11" customFormat="1" ht="24" customHeight="1" x14ac:dyDescent="0.35">
      <c r="A210" s="90" t="s">
        <v>499</v>
      </c>
      <c r="B210" s="37" t="s">
        <v>232</v>
      </c>
      <c r="C210" s="23" t="s">
        <v>31</v>
      </c>
      <c r="D210" s="24">
        <v>6</v>
      </c>
      <c r="E210" s="30" t="s">
        <v>500</v>
      </c>
      <c r="F210" s="24">
        <f>SUMPRODUCT(D210,1)</f>
        <v>6</v>
      </c>
      <c r="G210" s="25"/>
      <c r="H210" s="45"/>
    </row>
    <row r="211" spans="1:8" s="11" customFormat="1" ht="24" customHeight="1" x14ac:dyDescent="0.35">
      <c r="A211" s="90" t="s">
        <v>501</v>
      </c>
      <c r="B211" s="37" t="s">
        <v>218</v>
      </c>
      <c r="C211" s="23" t="s">
        <v>31</v>
      </c>
      <c r="D211" s="24">
        <v>6</v>
      </c>
      <c r="E211" s="30" t="str">
        <f>CONCATENATE("增加近战伤害,右键获得",SUMPRODUCT(D211,1)+4,"秒力量3")</f>
        <v>增加近战伤害,右键获得10秒力量3</v>
      </c>
      <c r="F211" s="24">
        <f>SUMPRODUCT(D211,3)</f>
        <v>18</v>
      </c>
      <c r="G211" s="25">
        <f>50-SUMPRODUCT(D211,3)</f>
        <v>32</v>
      </c>
      <c r="H211" s="45"/>
    </row>
    <row r="212" spans="1:8" s="11" customFormat="1" ht="24" customHeight="1" x14ac:dyDescent="0.35">
      <c r="A212" s="90" t="s">
        <v>502</v>
      </c>
      <c r="B212" s="37" t="s">
        <v>218</v>
      </c>
      <c r="C212" s="23" t="s">
        <v>31</v>
      </c>
      <c r="D212" s="24">
        <v>6</v>
      </c>
      <c r="E212" s="30" t="str">
        <f>CONCATENATE("为狂舞挥打增加伤害和",SUMPRODUCT(D212,4),"点溅射伤害")</f>
        <v>为狂舞挥打增加伤害和24点溅射伤害</v>
      </c>
      <c r="F212" s="24">
        <f>SUMPRODUCT(D212,2)</f>
        <v>12</v>
      </c>
      <c r="G212" s="25"/>
      <c r="H212" s="45" t="s">
        <v>503</v>
      </c>
    </row>
    <row r="213" spans="1:8" s="11" customFormat="1" ht="24" customHeight="1" x14ac:dyDescent="0.35">
      <c r="A213" s="90" t="s">
        <v>118</v>
      </c>
      <c r="B213" s="37" t="s">
        <v>204</v>
      </c>
      <c r="C213" s="23" t="s">
        <v>31</v>
      </c>
      <c r="D213" s="24">
        <v>6</v>
      </c>
      <c r="E213" s="30" t="s">
        <v>505</v>
      </c>
      <c r="F213" s="24" t="s">
        <v>504</v>
      </c>
      <c r="G213" s="25">
        <f>150-SUMPRODUCT(D213,10)</f>
        <v>90</v>
      </c>
      <c r="H213" s="45" t="s">
        <v>107</v>
      </c>
    </row>
    <row r="214" spans="1:8" s="11" customFormat="1" ht="24" customHeight="1" x14ac:dyDescent="0.35">
      <c r="A214" s="90" t="s">
        <v>506</v>
      </c>
      <c r="B214" s="37" t="s">
        <v>204</v>
      </c>
      <c r="C214" s="23" t="s">
        <v>31</v>
      </c>
      <c r="D214" s="24">
        <v>6</v>
      </c>
      <c r="E214" s="30" t="str">
        <f>CONCATENATE("使",SUMPRODUCT(D214,2)+3,"方块内的矿石发光,持续几秒")</f>
        <v>使15方块内的矿石发光,持续几秒</v>
      </c>
      <c r="F214" s="24">
        <f>SUMPRODUCT(D214,1)+1</f>
        <v>7</v>
      </c>
      <c r="G214" s="25">
        <f>120-SUMPRODUCT(D214,10)</f>
        <v>60</v>
      </c>
      <c r="H214" s="45"/>
    </row>
    <row r="215" spans="1:8" s="11" customFormat="1" ht="24" customHeight="1" x14ac:dyDescent="0.35">
      <c r="A215" s="90" t="s">
        <v>507</v>
      </c>
      <c r="B215" s="37" t="s">
        <v>204</v>
      </c>
      <c r="C215" s="23" t="s">
        <v>31</v>
      </c>
      <c r="D215" s="24"/>
      <c r="E215" s="30" t="s">
        <v>508</v>
      </c>
      <c r="F215" s="24"/>
      <c r="G215" s="25"/>
      <c r="H215" s="45" t="s">
        <v>293</v>
      </c>
    </row>
    <row r="216" spans="1:8" s="11" customFormat="1" ht="24" customHeight="1" x14ac:dyDescent="0.35">
      <c r="A216" s="90" t="s">
        <v>509</v>
      </c>
      <c r="B216" s="37" t="s">
        <v>166</v>
      </c>
      <c r="C216" s="23" t="s">
        <v>31</v>
      </c>
      <c r="D216" s="24">
        <v>6</v>
      </c>
      <c r="E216" s="30" t="s">
        <v>510</v>
      </c>
      <c r="F216" s="24">
        <f>SUMPRODUCT(D216,1)</f>
        <v>6</v>
      </c>
      <c r="G216" s="25"/>
      <c r="H216" s="45"/>
    </row>
    <row r="217" spans="1:8" s="11" customFormat="1" ht="24" customHeight="1" x14ac:dyDescent="0.35">
      <c r="A217" s="90" t="s">
        <v>511</v>
      </c>
      <c r="B217" s="37" t="s">
        <v>272</v>
      </c>
      <c r="C217" s="23" t="s">
        <v>31</v>
      </c>
      <c r="D217" s="24">
        <v>6</v>
      </c>
      <c r="E217" s="30"/>
      <c r="F217" s="24">
        <f>SUMPRODUCT(D217,0.5)+1</f>
        <v>4</v>
      </c>
      <c r="G217" s="25"/>
      <c r="H217" s="45"/>
    </row>
    <row r="218" spans="1:8" s="11" customFormat="1" ht="24" customHeight="1" x14ac:dyDescent="0.35">
      <c r="A218" s="90" t="s">
        <v>512</v>
      </c>
      <c r="B218" s="37" t="s">
        <v>184</v>
      </c>
      <c r="C218" s="23" t="s">
        <v>31</v>
      </c>
      <c r="D218" s="24">
        <v>6</v>
      </c>
      <c r="E218" s="30" t="s">
        <v>513</v>
      </c>
      <c r="F218" s="24" t="str">
        <f>CONCATENATE(SUMPRODUCT(D218,10),"%")</f>
        <v>60%</v>
      </c>
      <c r="G218" s="25"/>
      <c r="H218" s="45"/>
    </row>
    <row r="219" spans="1:8" s="11" customFormat="1" ht="24" customHeight="1" x14ac:dyDescent="0.35">
      <c r="A219" s="90" t="s">
        <v>514</v>
      </c>
      <c r="B219" s="37" t="s">
        <v>114</v>
      </c>
      <c r="C219" s="23" t="s">
        <v>31</v>
      </c>
      <c r="D219" s="24">
        <v>6</v>
      </c>
      <c r="E219" s="30" t="str">
        <f>CONCATENATE("右键向前闪现同时增加近战伤害,持续",SUMPRODUCT(D219,2)+15,"秒")</f>
        <v>右键向前闪现同时增加近战伤害,持续27秒</v>
      </c>
      <c r="F219" s="24">
        <f>SUMPRODUCT(D219,2)+1</f>
        <v>13</v>
      </c>
      <c r="G219" s="25"/>
      <c r="H219" s="45"/>
    </row>
    <row r="220" spans="1:8" s="11" customFormat="1" ht="24" customHeight="1" x14ac:dyDescent="0.35">
      <c r="A220" s="91" t="s">
        <v>72</v>
      </c>
      <c r="B220" s="52" t="s">
        <v>47</v>
      </c>
      <c r="C220" s="53" t="s">
        <v>36</v>
      </c>
      <c r="D220" s="54">
        <v>6</v>
      </c>
      <c r="E220" s="55" t="str">
        <f>CONCATENATE("提供常态夜视",IF(D220&lt;3,"1",IF(D220&lt;6,"2","3")),"效果")</f>
        <v>提供常态夜视3效果</v>
      </c>
      <c r="F220" s="54" t="s">
        <v>71</v>
      </c>
      <c r="G220" s="56">
        <v>5</v>
      </c>
      <c r="H220" s="57"/>
    </row>
    <row r="221" spans="1:8" s="11" customFormat="1" ht="24" customHeight="1" x14ac:dyDescent="0.35">
      <c r="A221" s="91" t="s">
        <v>69</v>
      </c>
      <c r="B221" s="52" t="s">
        <v>70</v>
      </c>
      <c r="C221" s="53" t="s">
        <v>36</v>
      </c>
      <c r="D221" s="54">
        <v>6</v>
      </c>
      <c r="E221" s="55" t="str">
        <f>CONCATENATE("提供常态力量",IF(D221&lt;3,"1",IF(D221&lt;5,"2","3")),"效果")</f>
        <v>提供常态力量3效果</v>
      </c>
      <c r="F221" s="54" t="s">
        <v>71</v>
      </c>
      <c r="G221" s="56">
        <v>5</v>
      </c>
      <c r="H221" s="57"/>
    </row>
    <row r="222" spans="1:8" s="11" customFormat="1" ht="24" customHeight="1" x14ac:dyDescent="0.35">
      <c r="A222" s="92" t="s">
        <v>67</v>
      </c>
      <c r="B222" s="52" t="s">
        <v>68</v>
      </c>
      <c r="C222" s="53" t="s">
        <v>36</v>
      </c>
      <c r="D222" s="54">
        <v>6</v>
      </c>
      <c r="E222" s="55" t="str">
        <f>CONCATENATE("挖掘矿物后给予急迫",IF(D222&lt;3,"1",IF(D222&lt;6,"2","3")),"持续数秒")</f>
        <v>挖掘矿物后给予急迫3持续数秒</v>
      </c>
      <c r="F222" s="54">
        <f>SUMPRODUCT(D222,10)</f>
        <v>60</v>
      </c>
      <c r="G222" s="56"/>
      <c r="H222" s="57"/>
    </row>
    <row r="223" spans="1:8" s="11" customFormat="1" ht="24" customHeight="1" x14ac:dyDescent="0.35">
      <c r="A223" s="91" t="s">
        <v>39</v>
      </c>
      <c r="B223" s="52" t="s">
        <v>19</v>
      </c>
      <c r="C223" s="53" t="s">
        <v>36</v>
      </c>
      <c r="D223" s="63">
        <v>6</v>
      </c>
      <c r="E223" s="55" t="s">
        <v>40</v>
      </c>
      <c r="F223" s="63">
        <f t="shared" ref="F223" si="5">SUMPRODUCT(D223,2)</f>
        <v>12</v>
      </c>
      <c r="G223" s="53"/>
      <c r="H223" s="57"/>
    </row>
    <row r="224" spans="1:8" s="11" customFormat="1" ht="24" customHeight="1" x14ac:dyDescent="0.35">
      <c r="A224" s="93" t="s">
        <v>515</v>
      </c>
      <c r="B224" s="61" t="s">
        <v>204</v>
      </c>
      <c r="C224" s="56" t="s">
        <v>36</v>
      </c>
      <c r="D224" s="54">
        <v>6</v>
      </c>
      <c r="E224" s="62" t="s">
        <v>516</v>
      </c>
      <c r="F224" s="54" t="str">
        <f t="shared" ref="F224:F230" si="6">CONCATENATE(SUMPRODUCT(D224,5),"%")</f>
        <v>30%</v>
      </c>
      <c r="G224" s="56"/>
      <c r="H224" s="57" t="s">
        <v>293</v>
      </c>
    </row>
    <row r="225" spans="1:8" s="11" customFormat="1" ht="24" customHeight="1" x14ac:dyDescent="0.35">
      <c r="A225" s="91" t="s">
        <v>517</v>
      </c>
      <c r="B225" s="52" t="s">
        <v>432</v>
      </c>
      <c r="C225" s="53" t="s">
        <v>36</v>
      </c>
      <c r="D225" s="54">
        <v>6</v>
      </c>
      <c r="E225" s="55" t="s">
        <v>518</v>
      </c>
      <c r="F225" s="54" t="str">
        <f t="shared" si="6"/>
        <v>30%</v>
      </c>
      <c r="G225" s="56"/>
      <c r="H225" s="57" t="s">
        <v>293</v>
      </c>
    </row>
    <row r="226" spans="1:8" s="11" customFormat="1" ht="24" customHeight="1" x14ac:dyDescent="0.35">
      <c r="A226" s="91" t="s">
        <v>519</v>
      </c>
      <c r="B226" s="52" t="s">
        <v>432</v>
      </c>
      <c r="C226" s="53" t="s">
        <v>36</v>
      </c>
      <c r="D226" s="54">
        <v>6</v>
      </c>
      <c r="E226" s="55" t="s">
        <v>520</v>
      </c>
      <c r="F226" s="54" t="str">
        <f t="shared" si="6"/>
        <v>30%</v>
      </c>
      <c r="G226" s="56"/>
      <c r="H226" s="57" t="s">
        <v>293</v>
      </c>
    </row>
    <row r="227" spans="1:8" s="11" customFormat="1" ht="24" customHeight="1" x14ac:dyDescent="0.35">
      <c r="A227" s="91" t="s">
        <v>521</v>
      </c>
      <c r="B227" s="52" t="s">
        <v>351</v>
      </c>
      <c r="C227" s="53" t="s">
        <v>36</v>
      </c>
      <c r="D227" s="54">
        <v>6</v>
      </c>
      <c r="E227" s="55" t="s">
        <v>522</v>
      </c>
      <c r="F227" s="54" t="str">
        <f t="shared" si="6"/>
        <v>30%</v>
      </c>
      <c r="G227" s="56"/>
      <c r="H227" s="57" t="s">
        <v>293</v>
      </c>
    </row>
    <row r="228" spans="1:8" s="11" customFormat="1" ht="24" customHeight="1" x14ac:dyDescent="0.35">
      <c r="A228" s="91" t="s">
        <v>523</v>
      </c>
      <c r="B228" s="52" t="s">
        <v>204</v>
      </c>
      <c r="C228" s="53" t="s">
        <v>36</v>
      </c>
      <c r="D228" s="54">
        <v>6</v>
      </c>
      <c r="E228" s="55" t="s">
        <v>524</v>
      </c>
      <c r="F228" s="54" t="str">
        <f t="shared" si="6"/>
        <v>30%</v>
      </c>
      <c r="G228" s="56"/>
      <c r="H228" s="57" t="s">
        <v>293</v>
      </c>
    </row>
    <row r="229" spans="1:8" s="11" customFormat="1" ht="24" customHeight="1" x14ac:dyDescent="0.35">
      <c r="A229" s="91" t="s">
        <v>525</v>
      </c>
      <c r="B229" s="52" t="s">
        <v>204</v>
      </c>
      <c r="C229" s="53" t="s">
        <v>36</v>
      </c>
      <c r="D229" s="54">
        <v>6</v>
      </c>
      <c r="E229" s="55" t="s">
        <v>526</v>
      </c>
      <c r="F229" s="54" t="str">
        <f t="shared" si="6"/>
        <v>30%</v>
      </c>
      <c r="G229" s="56"/>
      <c r="H229" s="57" t="s">
        <v>293</v>
      </c>
    </row>
    <row r="230" spans="1:8" s="11" customFormat="1" ht="24" customHeight="1" x14ac:dyDescent="0.35">
      <c r="A230" s="91" t="s">
        <v>530</v>
      </c>
      <c r="B230" s="52" t="s">
        <v>201</v>
      </c>
      <c r="C230" s="53" t="s">
        <v>36</v>
      </c>
      <c r="D230" s="54">
        <v>6</v>
      </c>
      <c r="E230" s="55" t="s">
        <v>531</v>
      </c>
      <c r="F230" s="54" t="str">
        <f t="shared" si="6"/>
        <v>30%</v>
      </c>
      <c r="G230" s="56"/>
      <c r="H230" s="57"/>
    </row>
    <row r="231" spans="1:8" s="11" customFormat="1" ht="24" customHeight="1" x14ac:dyDescent="0.35">
      <c r="A231" s="91" t="s">
        <v>549</v>
      </c>
      <c r="B231" s="52" t="s">
        <v>224</v>
      </c>
      <c r="C231" s="53" t="s">
        <v>36</v>
      </c>
      <c r="D231" s="54">
        <v>6</v>
      </c>
      <c r="E231" s="55" t="s">
        <v>550</v>
      </c>
      <c r="F231" s="54" t="str">
        <f>CONCATENATE(SUMPRODUCT(D231,2),"%")</f>
        <v>12%</v>
      </c>
      <c r="G231" s="56"/>
      <c r="H231" s="57"/>
    </row>
    <row r="232" spans="1:8" s="11" customFormat="1" ht="24" customHeight="1" x14ac:dyDescent="0.35">
      <c r="A232" s="91" t="s">
        <v>527</v>
      </c>
      <c r="B232" s="52" t="s">
        <v>114</v>
      </c>
      <c r="C232" s="53" t="s">
        <v>36</v>
      </c>
      <c r="D232" s="54">
        <v>6</v>
      </c>
      <c r="E232" s="55" t="s">
        <v>528</v>
      </c>
      <c r="F232" s="54">
        <f>SUMPRODUCT(D232,5)+5</f>
        <v>35</v>
      </c>
      <c r="G232" s="56"/>
      <c r="H232" s="57" t="s">
        <v>529</v>
      </c>
    </row>
    <row r="233" spans="1:8" s="11" customFormat="1" ht="24" customHeight="1" x14ac:dyDescent="0.35">
      <c r="A233" s="91" t="s">
        <v>337</v>
      </c>
      <c r="B233" s="52" t="s">
        <v>8</v>
      </c>
      <c r="C233" s="53" t="s">
        <v>36</v>
      </c>
      <c r="D233" s="54">
        <v>6</v>
      </c>
      <c r="E233" s="55" t="s">
        <v>532</v>
      </c>
      <c r="F233" s="54">
        <f>SUMPRODUCT(D233,13)+4</f>
        <v>82</v>
      </c>
      <c r="G233" s="56"/>
      <c r="H233" s="57" t="s">
        <v>533</v>
      </c>
    </row>
    <row r="234" spans="1:8" s="11" customFormat="1" ht="24" customHeight="1" x14ac:dyDescent="0.35">
      <c r="A234" s="91" t="s">
        <v>534</v>
      </c>
      <c r="B234" s="52" t="s">
        <v>218</v>
      </c>
      <c r="C234" s="53" t="s">
        <v>36</v>
      </c>
      <c r="D234" s="54">
        <v>6</v>
      </c>
      <c r="E234" s="55" t="s">
        <v>476</v>
      </c>
      <c r="F234" s="54">
        <f>SUMPRODUCT(D234,21)+3</f>
        <v>129</v>
      </c>
      <c r="G234" s="56"/>
      <c r="H234" s="57" t="s">
        <v>539</v>
      </c>
    </row>
    <row r="235" spans="1:8" s="11" customFormat="1" ht="24" customHeight="1" x14ac:dyDescent="0.35">
      <c r="A235" s="91" t="s">
        <v>561</v>
      </c>
      <c r="B235" s="52" t="s">
        <v>114</v>
      </c>
      <c r="C235" s="53" t="s">
        <v>36</v>
      </c>
      <c r="D235" s="54">
        <v>6</v>
      </c>
      <c r="E235" s="55" t="s">
        <v>476</v>
      </c>
      <c r="F235" s="54">
        <f>SUMPRODUCT(D235,14)+2</f>
        <v>86</v>
      </c>
      <c r="G235" s="56"/>
      <c r="H235" s="57" t="s">
        <v>539</v>
      </c>
    </row>
    <row r="236" spans="1:8" s="11" customFormat="1" ht="24" customHeight="1" x14ac:dyDescent="0.35">
      <c r="A236" s="91" t="s">
        <v>557</v>
      </c>
      <c r="B236" s="52" t="s">
        <v>218</v>
      </c>
      <c r="C236" s="53" t="s">
        <v>36</v>
      </c>
      <c r="D236" s="54">
        <v>6</v>
      </c>
      <c r="E236" s="55" t="str">
        <f>CONCATENATE("挥舞斧头对半径",SUMPRODUCT(D236,0.5),"格内的敌人造成溅射伤害")</f>
        <v>挥舞斧头对半径3格内的敌人造成溅射伤害</v>
      </c>
      <c r="F236" s="54">
        <f>SUMPRODUCT(D236,2)</f>
        <v>12</v>
      </c>
      <c r="G236" s="56"/>
      <c r="H236" s="57" t="s">
        <v>558</v>
      </c>
    </row>
    <row r="237" spans="1:8" s="11" customFormat="1" ht="24" customHeight="1" x14ac:dyDescent="0.35">
      <c r="A237" s="91" t="s">
        <v>540</v>
      </c>
      <c r="B237" s="52" t="s">
        <v>184</v>
      </c>
      <c r="C237" s="53" t="s">
        <v>36</v>
      </c>
      <c r="D237" s="54">
        <v>6</v>
      </c>
      <c r="E237" s="55" t="s">
        <v>541</v>
      </c>
      <c r="F237" s="54">
        <f>SUMPRODUCT(D237,5)+5</f>
        <v>35</v>
      </c>
      <c r="G237" s="56"/>
      <c r="H237" s="57"/>
    </row>
    <row r="238" spans="1:8" s="11" customFormat="1" ht="24" customHeight="1" x14ac:dyDescent="0.35">
      <c r="A238" s="91" t="s">
        <v>542</v>
      </c>
      <c r="B238" s="52" t="s">
        <v>8</v>
      </c>
      <c r="C238" s="53" t="s">
        <v>36</v>
      </c>
      <c r="D238" s="54">
        <v>6</v>
      </c>
      <c r="E238" s="55" t="str">
        <f>CONCATENATE("一次射出五支箭递推分散",SUMPRODUCT(D238,1.3),"°","角度每支箭增加伤害")</f>
        <v>一次射出五支箭递推分散7.8°角度每支箭增加伤害</v>
      </c>
      <c r="F238" s="54">
        <f>SUMPRODUCT(D238,2)+4</f>
        <v>16</v>
      </c>
      <c r="G238" s="56"/>
      <c r="H238" s="57" t="s">
        <v>281</v>
      </c>
    </row>
    <row r="239" spans="1:8" s="11" customFormat="1" ht="24" customHeight="1" x14ac:dyDescent="0.35">
      <c r="A239" s="91" t="s">
        <v>377</v>
      </c>
      <c r="B239" s="52" t="s">
        <v>204</v>
      </c>
      <c r="C239" s="53" t="s">
        <v>36</v>
      </c>
      <c r="D239" s="54">
        <v>6</v>
      </c>
      <c r="E239" s="55" t="s">
        <v>543</v>
      </c>
      <c r="F239" s="54" t="str">
        <f>CONCATENATE(SUMPRODUCT(D239,5),"%")</f>
        <v>30%</v>
      </c>
      <c r="G239" s="56"/>
      <c r="H239" s="57" t="s">
        <v>375</v>
      </c>
    </row>
    <row r="240" spans="1:8" s="11" customFormat="1" ht="24" customHeight="1" x14ac:dyDescent="0.35">
      <c r="A240" s="91" t="s">
        <v>544</v>
      </c>
      <c r="B240" s="52" t="s">
        <v>116</v>
      </c>
      <c r="C240" s="53" t="s">
        <v>36</v>
      </c>
      <c r="D240" s="54">
        <v>6</v>
      </c>
      <c r="E240" s="55" t="s">
        <v>545</v>
      </c>
      <c r="F240" s="54">
        <f>SUMPRODUCT(D240,6)+8</f>
        <v>44</v>
      </c>
      <c r="G240" s="56"/>
      <c r="H240" s="57" t="s">
        <v>546</v>
      </c>
    </row>
    <row r="241" spans="1:12" s="11" customFormat="1" ht="24" customHeight="1" x14ac:dyDescent="0.35">
      <c r="A241" s="91" t="s">
        <v>547</v>
      </c>
      <c r="B241" s="52" t="s">
        <v>218</v>
      </c>
      <c r="C241" s="53" t="s">
        <v>36</v>
      </c>
      <c r="D241" s="54">
        <v>6</v>
      </c>
      <c r="E241" s="55" t="s">
        <v>548</v>
      </c>
      <c r="F241" s="54">
        <f>SUMPRODUCT(D241,7)+1</f>
        <v>43</v>
      </c>
      <c r="G241" s="56"/>
      <c r="H241" s="57" t="s">
        <v>270</v>
      </c>
    </row>
    <row r="242" spans="1:12" s="11" customFormat="1" ht="24" customHeight="1" x14ac:dyDescent="0.35">
      <c r="A242" s="91" t="s">
        <v>551</v>
      </c>
      <c r="B242" s="52" t="s">
        <v>232</v>
      </c>
      <c r="C242" s="53" t="s">
        <v>36</v>
      </c>
      <c r="D242" s="54">
        <v>6</v>
      </c>
      <c r="E242" s="55" t="s">
        <v>552</v>
      </c>
      <c r="F242" s="54">
        <f>SUMPRODUCT(D242,2)+6</f>
        <v>18</v>
      </c>
      <c r="G242" s="56">
        <f>48-SUMPRODUCT(D242,4)</f>
        <v>24</v>
      </c>
      <c r="H242" s="57"/>
    </row>
    <row r="243" spans="1:12" s="11" customFormat="1" ht="24" customHeight="1" x14ac:dyDescent="0.35">
      <c r="A243" s="91" t="s">
        <v>553</v>
      </c>
      <c r="B243" s="52" t="s">
        <v>163</v>
      </c>
      <c r="C243" s="53" t="s">
        <v>36</v>
      </c>
      <c r="D243" s="54">
        <v>6</v>
      </c>
      <c r="E243" s="55" t="s">
        <v>554</v>
      </c>
      <c r="F243" s="54">
        <f>SUMPRODUCT(D243,5)+5</f>
        <v>35</v>
      </c>
      <c r="G243" s="56"/>
      <c r="H243" s="57" t="s">
        <v>393</v>
      </c>
    </row>
    <row r="244" spans="1:12" s="11" customFormat="1" ht="24" customHeight="1" x14ac:dyDescent="0.35">
      <c r="A244" s="91" t="s">
        <v>555</v>
      </c>
      <c r="B244" s="52" t="s">
        <v>272</v>
      </c>
      <c r="C244" s="53" t="s">
        <v>36</v>
      </c>
      <c r="D244" s="54">
        <v>6</v>
      </c>
      <c r="E244" s="55" t="s">
        <v>556</v>
      </c>
      <c r="F244" s="54">
        <f>SUMPRODUCT(D244,5)+5</f>
        <v>35</v>
      </c>
      <c r="G244" s="56"/>
      <c r="H244" s="57" t="s">
        <v>393</v>
      </c>
    </row>
    <row r="245" spans="1:12" s="11" customFormat="1" ht="24" customHeight="1" thickBot="1" x14ac:dyDescent="0.4">
      <c r="A245" s="94" t="s">
        <v>559</v>
      </c>
      <c r="B245" s="95" t="s">
        <v>330</v>
      </c>
      <c r="C245" s="96" t="s">
        <v>36</v>
      </c>
      <c r="D245" s="97">
        <v>6</v>
      </c>
      <c r="E245" s="98" t="s">
        <v>560</v>
      </c>
      <c r="F245" s="97">
        <f>SUMPRODUCT(D245,1)</f>
        <v>6</v>
      </c>
      <c r="G245" s="99">
        <f>10-SUMPRODUCT(D245,1)</f>
        <v>4</v>
      </c>
      <c r="H245" s="100"/>
    </row>
    <row r="246" spans="1:12" s="11" customFormat="1" ht="24" customHeight="1" thickTop="1" x14ac:dyDescent="0.35">
      <c r="A246" s="77"/>
      <c r="C246" s="78"/>
      <c r="D246" s="78"/>
      <c r="E246" s="79"/>
      <c r="F246" s="78"/>
      <c r="G246" s="78"/>
      <c r="H246" s="79"/>
    </row>
    <row r="247" spans="1:12" s="11" customFormat="1" ht="24" customHeight="1" x14ac:dyDescent="0.35">
      <c r="A247" s="50"/>
      <c r="B247" s="51"/>
      <c r="C247" s="50"/>
      <c r="D247" s="50"/>
      <c r="E247" s="51"/>
      <c r="F247" s="50"/>
      <c r="G247" s="50"/>
      <c r="H247" s="51"/>
    </row>
    <row r="248" spans="1:12" s="11" customFormat="1" ht="24" customHeight="1" thickBot="1" x14ac:dyDescent="0.4">
      <c r="A248" s="50"/>
      <c r="B248" s="51"/>
      <c r="C248" s="50"/>
      <c r="D248" s="50"/>
      <c r="E248" s="51"/>
      <c r="F248" s="50"/>
      <c r="G248" s="50"/>
      <c r="H248" s="51"/>
    </row>
    <row r="249" spans="1:12" s="11" customFormat="1" ht="24" customHeight="1" x14ac:dyDescent="0.35">
      <c r="A249" s="50"/>
      <c r="B249" s="51"/>
      <c r="C249" s="50"/>
      <c r="D249" s="50"/>
      <c r="E249" s="51"/>
      <c r="F249" s="50"/>
      <c r="G249" s="50"/>
      <c r="H249" s="51"/>
      <c r="I249" s="70" t="s">
        <v>5</v>
      </c>
      <c r="J249" s="71"/>
      <c r="K249" s="71"/>
      <c r="L249" s="72"/>
    </row>
    <row r="250" spans="1:12" s="11" customFormat="1" ht="24" customHeight="1" x14ac:dyDescent="0.35">
      <c r="A250" s="50"/>
      <c r="B250" s="51"/>
      <c r="C250" s="50"/>
      <c r="D250" s="50"/>
      <c r="E250" s="51"/>
      <c r="F250" s="50"/>
      <c r="G250" s="50"/>
      <c r="H250" s="51"/>
      <c r="I250" s="15">
        <v>1</v>
      </c>
      <c r="L250" s="16"/>
    </row>
    <row r="251" spans="1:12" s="11" customFormat="1" ht="24" customHeight="1" x14ac:dyDescent="0.35">
      <c r="A251" s="50"/>
      <c r="B251" s="51"/>
      <c r="C251" s="50"/>
      <c r="D251" s="50"/>
      <c r="E251" s="51"/>
      <c r="F251" s="50"/>
      <c r="G251" s="50"/>
      <c r="H251" s="51"/>
      <c r="I251" s="15">
        <v>2</v>
      </c>
      <c r="L251" s="16"/>
    </row>
    <row r="252" spans="1:12" s="11" customFormat="1" ht="24" customHeight="1" x14ac:dyDescent="0.35">
      <c r="A252" s="50"/>
      <c r="B252" s="51"/>
      <c r="C252" s="50"/>
      <c r="D252" s="50"/>
      <c r="E252" s="51"/>
      <c r="F252" s="50"/>
      <c r="G252" s="50"/>
      <c r="H252" s="51"/>
      <c r="I252" s="15">
        <v>3</v>
      </c>
      <c r="L252" s="16"/>
    </row>
    <row r="253" spans="1:12" s="11" customFormat="1" ht="24" customHeight="1" x14ac:dyDescent="0.35">
      <c r="A253" s="50"/>
      <c r="B253" s="51"/>
      <c r="C253" s="50"/>
      <c r="D253" s="50"/>
      <c r="E253" s="51"/>
      <c r="F253" s="50"/>
      <c r="G253" s="50"/>
      <c r="H253" s="51"/>
      <c r="I253" s="15">
        <v>4</v>
      </c>
      <c r="L253" s="16"/>
    </row>
    <row r="254" spans="1:12" s="11" customFormat="1" ht="24" customHeight="1" x14ac:dyDescent="0.35">
      <c r="A254" s="50"/>
      <c r="B254" s="51"/>
      <c r="C254" s="50"/>
      <c r="D254" s="50"/>
      <c r="E254" s="51"/>
      <c r="F254" s="50"/>
      <c r="G254" s="50"/>
      <c r="H254" s="51"/>
      <c r="I254" s="15">
        <v>5</v>
      </c>
      <c r="L254" s="16"/>
    </row>
    <row r="255" spans="1:12" s="11" customFormat="1" ht="24" customHeight="1" thickBot="1" x14ac:dyDescent="0.4">
      <c r="A255" s="50"/>
      <c r="B255" s="51"/>
      <c r="C255" s="50"/>
      <c r="D255" s="50"/>
      <c r="E255" s="51"/>
      <c r="F255" s="50"/>
      <c r="G255" s="50"/>
      <c r="H255" s="51"/>
      <c r="I255" s="17">
        <v>6</v>
      </c>
      <c r="J255" s="18"/>
      <c r="K255" s="18"/>
      <c r="L255" s="19"/>
    </row>
    <row r="256" spans="1:12" s="11" customFormat="1" ht="24" customHeight="1" x14ac:dyDescent="0.35">
      <c r="A256" s="50"/>
      <c r="B256" s="51"/>
      <c r="C256" s="50"/>
      <c r="D256" s="50"/>
      <c r="E256" s="51"/>
      <c r="F256" s="50"/>
      <c r="G256" s="50"/>
      <c r="H256" s="51"/>
    </row>
    <row r="257" spans="1:8" s="11" customFormat="1" ht="24" customHeight="1" x14ac:dyDescent="0.35">
      <c r="A257" s="50"/>
      <c r="B257" s="51"/>
      <c r="C257" s="50"/>
      <c r="D257" s="50"/>
      <c r="E257" s="51"/>
      <c r="F257" s="50"/>
      <c r="G257" s="50"/>
      <c r="H257" s="51"/>
    </row>
    <row r="258" spans="1:8" s="11" customFormat="1" ht="24" customHeight="1" x14ac:dyDescent="0.35">
      <c r="A258" s="50"/>
      <c r="B258" s="51"/>
      <c r="C258" s="50"/>
      <c r="D258" s="50"/>
      <c r="E258" s="51"/>
      <c r="F258" s="50"/>
      <c r="G258" s="50"/>
      <c r="H258" s="51"/>
    </row>
    <row r="259" spans="1:8" s="11" customFormat="1" ht="24" customHeight="1" x14ac:dyDescent="0.35">
      <c r="A259" s="50"/>
      <c r="B259" s="51"/>
      <c r="C259" s="50"/>
      <c r="D259" s="50"/>
      <c r="E259" s="51"/>
      <c r="F259" s="50"/>
      <c r="G259" s="50"/>
      <c r="H259" s="51"/>
    </row>
    <row r="260" spans="1:8" s="11" customFormat="1" ht="24" customHeight="1" x14ac:dyDescent="0.35">
      <c r="A260" s="50"/>
      <c r="B260" s="51"/>
      <c r="C260" s="50"/>
      <c r="D260" s="50"/>
      <c r="E260" s="51"/>
      <c r="F260" s="50"/>
      <c r="G260" s="50"/>
      <c r="H260" s="51"/>
    </row>
    <row r="261" spans="1:8" s="11" customFormat="1" ht="24" customHeight="1" x14ac:dyDescent="0.35">
      <c r="A261" s="50"/>
      <c r="B261" s="51"/>
      <c r="C261" s="50"/>
      <c r="D261" s="50"/>
      <c r="E261" s="51"/>
      <c r="F261" s="50"/>
      <c r="G261" s="50"/>
      <c r="H261" s="51"/>
    </row>
    <row r="262" spans="1:8" s="11" customFormat="1" ht="24" customHeight="1" x14ac:dyDescent="0.35">
      <c r="A262" s="50"/>
      <c r="B262" s="51"/>
      <c r="C262" s="50"/>
      <c r="D262" s="50"/>
      <c r="E262" s="51"/>
      <c r="F262" s="50"/>
      <c r="G262" s="50"/>
      <c r="H262" s="51"/>
    </row>
    <row r="263" spans="1:8" s="11" customFormat="1" ht="24" customHeight="1" x14ac:dyDescent="0.35">
      <c r="A263" s="50"/>
      <c r="B263" s="51"/>
      <c r="C263" s="50"/>
      <c r="D263" s="50"/>
      <c r="E263" s="51"/>
      <c r="F263" s="50"/>
      <c r="G263" s="50"/>
      <c r="H263" s="51"/>
    </row>
    <row r="264" spans="1:8" s="11" customFormat="1" ht="24" customHeight="1" x14ac:dyDescent="0.35">
      <c r="A264" s="50"/>
      <c r="B264" s="51"/>
      <c r="C264" s="50"/>
      <c r="D264" s="50"/>
      <c r="E264" s="51"/>
      <c r="F264" s="50"/>
      <c r="G264" s="50"/>
      <c r="H264" s="51"/>
    </row>
    <row r="265" spans="1:8" s="11" customFormat="1" ht="24" customHeight="1" x14ac:dyDescent="0.35">
      <c r="A265" s="50"/>
      <c r="B265" s="51"/>
      <c r="C265" s="50"/>
      <c r="D265" s="50"/>
      <c r="E265" s="51"/>
      <c r="F265" s="50"/>
      <c r="G265" s="50"/>
      <c r="H265" s="51"/>
    </row>
    <row r="266" spans="1:8" s="11" customFormat="1" ht="24" customHeight="1" x14ac:dyDescent="0.35">
      <c r="A266" s="50"/>
      <c r="B266" s="51"/>
      <c r="C266" s="50"/>
      <c r="D266" s="50"/>
      <c r="E266" s="51"/>
      <c r="F266" s="50"/>
      <c r="G266" s="50"/>
      <c r="H266" s="51"/>
    </row>
    <row r="267" spans="1:8" s="11" customFormat="1" ht="24" customHeight="1" x14ac:dyDescent="0.35">
      <c r="A267" s="50"/>
      <c r="B267" s="51"/>
      <c r="C267" s="50"/>
      <c r="D267" s="50"/>
      <c r="E267" s="51"/>
      <c r="F267" s="50"/>
      <c r="G267" s="50"/>
      <c r="H267" s="51"/>
    </row>
    <row r="268" spans="1:8" s="11" customFormat="1" ht="24" customHeight="1" x14ac:dyDescent="0.35">
      <c r="A268" s="50"/>
      <c r="B268" s="51"/>
      <c r="C268" s="50"/>
      <c r="D268" s="50"/>
      <c r="E268" s="51"/>
      <c r="F268" s="50"/>
      <c r="G268" s="50"/>
      <c r="H268" s="51"/>
    </row>
    <row r="269" spans="1:8" s="11" customFormat="1" ht="24" customHeight="1" x14ac:dyDescent="0.35">
      <c r="A269" s="50"/>
      <c r="B269" s="51"/>
      <c r="C269" s="50"/>
      <c r="D269" s="50"/>
      <c r="E269" s="51"/>
      <c r="F269" s="50"/>
      <c r="G269" s="50"/>
      <c r="H269" s="51"/>
    </row>
    <row r="270" spans="1:8" s="11" customFormat="1" ht="24" customHeight="1" x14ac:dyDescent="0.35">
      <c r="A270" s="50"/>
      <c r="B270" s="51"/>
      <c r="C270" s="50"/>
      <c r="D270" s="50"/>
      <c r="E270" s="51"/>
      <c r="F270" s="50"/>
      <c r="G270" s="50"/>
      <c r="H270" s="51"/>
    </row>
    <row r="271" spans="1:8" s="11" customFormat="1" ht="24" customHeight="1" x14ac:dyDescent="0.35">
      <c r="A271" s="50"/>
      <c r="B271" s="51"/>
      <c r="C271" s="50"/>
      <c r="D271" s="50"/>
      <c r="E271" s="51"/>
      <c r="F271" s="50"/>
      <c r="G271" s="50"/>
      <c r="H271" s="51"/>
    </row>
    <row r="272" spans="1:8" s="11" customFormat="1" ht="24" customHeight="1" x14ac:dyDescent="0.35">
      <c r="A272" s="50"/>
      <c r="B272" s="51"/>
      <c r="C272" s="50"/>
      <c r="D272" s="50"/>
      <c r="E272" s="51"/>
      <c r="F272" s="50"/>
      <c r="G272" s="50"/>
      <c r="H272" s="51"/>
    </row>
    <row r="273" spans="1:8" s="11" customFormat="1" ht="24" customHeight="1" x14ac:dyDescent="0.35">
      <c r="A273" s="50"/>
      <c r="B273" s="51"/>
      <c r="C273" s="50"/>
      <c r="D273" s="50"/>
      <c r="E273" s="51"/>
      <c r="F273" s="50"/>
      <c r="G273" s="50"/>
      <c r="H273" s="51"/>
    </row>
    <row r="274" spans="1:8" s="11" customFormat="1" ht="24" customHeight="1" x14ac:dyDescent="0.35">
      <c r="A274" s="50"/>
      <c r="B274" s="51"/>
      <c r="C274" s="50"/>
      <c r="D274" s="50"/>
      <c r="E274" s="51"/>
      <c r="F274" s="50"/>
      <c r="G274" s="50"/>
      <c r="H274" s="51"/>
    </row>
    <row r="275" spans="1:8" s="11" customFormat="1" ht="24" customHeight="1" x14ac:dyDescent="0.35">
      <c r="A275" s="50"/>
      <c r="B275" s="51"/>
      <c r="C275" s="50"/>
      <c r="D275" s="50"/>
      <c r="E275" s="51"/>
      <c r="F275" s="50"/>
      <c r="G275" s="50"/>
      <c r="H275" s="51"/>
    </row>
    <row r="276" spans="1:8" s="11" customFormat="1" ht="24" customHeight="1" x14ac:dyDescent="0.35">
      <c r="A276" s="50"/>
      <c r="B276" s="51"/>
      <c r="C276" s="50"/>
      <c r="D276" s="50"/>
      <c r="E276" s="51"/>
      <c r="F276" s="50"/>
      <c r="G276" s="50"/>
      <c r="H276" s="51"/>
    </row>
    <row r="277" spans="1:8" s="11" customFormat="1" ht="24" customHeight="1" x14ac:dyDescent="0.35">
      <c r="A277" s="50"/>
      <c r="B277" s="51"/>
      <c r="C277" s="50"/>
      <c r="D277" s="50"/>
      <c r="E277" s="51"/>
      <c r="F277" s="50"/>
      <c r="G277" s="50"/>
      <c r="H277" s="51"/>
    </row>
    <row r="278" spans="1:8" s="11" customFormat="1" ht="24" customHeight="1" x14ac:dyDescent="0.35">
      <c r="A278" s="50"/>
      <c r="B278" s="51"/>
      <c r="C278" s="50"/>
      <c r="D278" s="50"/>
      <c r="E278" s="51"/>
      <c r="F278" s="50"/>
      <c r="G278" s="50"/>
      <c r="H278" s="51"/>
    </row>
    <row r="279" spans="1:8" s="11" customFormat="1" ht="24" customHeight="1" x14ac:dyDescent="0.35">
      <c r="A279" s="50"/>
      <c r="B279" s="51"/>
      <c r="C279" s="50"/>
      <c r="D279" s="50"/>
      <c r="E279" s="51"/>
      <c r="F279" s="50"/>
      <c r="G279" s="50"/>
      <c r="H279" s="51"/>
    </row>
    <row r="280" spans="1:8" s="11" customFormat="1" ht="24" customHeight="1" x14ac:dyDescent="0.35">
      <c r="A280" s="50"/>
      <c r="B280" s="51"/>
      <c r="C280" s="50"/>
      <c r="D280" s="50"/>
      <c r="E280" s="51"/>
      <c r="F280" s="50"/>
      <c r="G280" s="50"/>
      <c r="H280" s="51"/>
    </row>
    <row r="281" spans="1:8" s="11" customFormat="1" ht="24" customHeight="1" x14ac:dyDescent="0.35">
      <c r="A281" s="50"/>
      <c r="B281" s="51"/>
      <c r="C281" s="50"/>
      <c r="D281" s="50"/>
      <c r="E281" s="51"/>
      <c r="F281" s="50"/>
      <c r="G281" s="50"/>
      <c r="H281" s="51"/>
    </row>
    <row r="282" spans="1:8" s="11" customFormat="1" ht="24" customHeight="1" x14ac:dyDescent="0.35">
      <c r="A282" s="50"/>
      <c r="B282" s="51"/>
      <c r="C282" s="50"/>
      <c r="D282" s="50"/>
      <c r="E282" s="51"/>
      <c r="F282" s="50"/>
      <c r="G282" s="50"/>
      <c r="H282" s="51"/>
    </row>
    <row r="283" spans="1:8" s="11" customFormat="1" ht="24" customHeight="1" x14ac:dyDescent="0.35">
      <c r="A283" s="50"/>
      <c r="B283" s="51"/>
      <c r="C283" s="50"/>
      <c r="D283" s="50"/>
      <c r="E283" s="51"/>
      <c r="F283" s="50"/>
      <c r="G283" s="50"/>
      <c r="H283" s="51"/>
    </row>
    <row r="284" spans="1:8" s="11" customFormat="1" ht="24" customHeight="1" x14ac:dyDescent="0.35">
      <c r="A284" s="50"/>
      <c r="B284" s="51"/>
      <c r="C284" s="50"/>
      <c r="D284" s="50"/>
      <c r="E284" s="51"/>
      <c r="F284" s="50"/>
      <c r="G284" s="50"/>
      <c r="H284" s="51"/>
    </row>
    <row r="285" spans="1:8" s="11" customFormat="1" ht="24" customHeight="1" x14ac:dyDescent="0.35">
      <c r="A285" s="50"/>
      <c r="B285" s="51"/>
      <c r="C285" s="50"/>
      <c r="D285" s="50"/>
      <c r="E285" s="51"/>
      <c r="F285" s="50"/>
      <c r="G285" s="50"/>
      <c r="H285" s="51"/>
    </row>
    <row r="286" spans="1:8" s="11" customFormat="1" ht="24" customHeight="1" x14ac:dyDescent="0.35">
      <c r="A286" s="50"/>
      <c r="B286" s="51"/>
      <c r="C286" s="50"/>
      <c r="D286" s="50"/>
      <c r="E286" s="51"/>
      <c r="F286" s="50"/>
      <c r="G286" s="50"/>
      <c r="H286" s="51"/>
    </row>
    <row r="287" spans="1:8" s="11" customFormat="1" ht="24" customHeight="1" x14ac:dyDescent="0.35">
      <c r="A287" s="50"/>
      <c r="B287" s="51"/>
      <c r="C287" s="50"/>
      <c r="D287" s="50"/>
      <c r="E287" s="51"/>
      <c r="F287" s="50"/>
      <c r="G287" s="50"/>
      <c r="H287" s="51"/>
    </row>
    <row r="288" spans="1:8" s="11" customFormat="1" ht="24" customHeight="1" x14ac:dyDescent="0.35">
      <c r="A288" s="50"/>
      <c r="B288" s="51"/>
      <c r="C288" s="50"/>
      <c r="D288" s="50"/>
      <c r="E288" s="51"/>
      <c r="F288" s="50"/>
      <c r="G288" s="50"/>
      <c r="H288" s="51"/>
    </row>
    <row r="289" spans="1:8" s="11" customFormat="1" ht="24" customHeight="1" x14ac:dyDescent="0.35">
      <c r="A289" s="50"/>
      <c r="B289" s="51"/>
      <c r="C289" s="50"/>
      <c r="D289" s="50"/>
      <c r="E289" s="51"/>
      <c r="F289" s="50"/>
      <c r="G289" s="50"/>
      <c r="H289" s="51"/>
    </row>
    <row r="290" spans="1:8" s="11" customFormat="1" ht="24" customHeight="1" x14ac:dyDescent="0.35">
      <c r="A290" s="50"/>
      <c r="B290" s="51"/>
      <c r="C290" s="50"/>
      <c r="D290" s="50"/>
      <c r="E290" s="51"/>
      <c r="F290" s="50"/>
      <c r="G290" s="50"/>
      <c r="H290" s="51"/>
    </row>
    <row r="291" spans="1:8" s="11" customFormat="1" ht="24" customHeight="1" x14ac:dyDescent="0.35">
      <c r="A291" s="50"/>
      <c r="B291" s="51"/>
      <c r="C291" s="50"/>
      <c r="D291" s="50"/>
      <c r="E291" s="51"/>
      <c r="F291" s="50"/>
      <c r="G291" s="50"/>
      <c r="H291" s="51"/>
    </row>
    <row r="292" spans="1:8" s="11" customFormat="1" ht="24" customHeight="1" x14ac:dyDescent="0.35">
      <c r="A292" s="50"/>
      <c r="B292" s="51"/>
      <c r="C292" s="50"/>
      <c r="D292" s="50"/>
      <c r="E292" s="51"/>
      <c r="F292" s="50"/>
      <c r="G292" s="50"/>
      <c r="H292" s="51"/>
    </row>
    <row r="293" spans="1:8" s="11" customFormat="1" ht="24" customHeight="1" x14ac:dyDescent="0.35">
      <c r="A293" s="50"/>
      <c r="B293" s="51"/>
      <c r="C293" s="50"/>
      <c r="D293" s="50"/>
      <c r="E293" s="51"/>
      <c r="F293" s="50"/>
      <c r="G293" s="50"/>
      <c r="H293" s="51"/>
    </row>
    <row r="294" spans="1:8" s="11" customFormat="1" ht="24" customHeight="1" x14ac:dyDescent="0.35">
      <c r="A294" s="50"/>
      <c r="B294" s="51"/>
      <c r="C294" s="50"/>
      <c r="D294" s="50"/>
      <c r="E294" s="51"/>
      <c r="F294" s="50"/>
      <c r="G294" s="50"/>
      <c r="H294" s="51"/>
    </row>
    <row r="295" spans="1:8" s="11" customFormat="1" ht="24" customHeight="1" x14ac:dyDescent="0.35">
      <c r="A295" s="50"/>
      <c r="B295" s="51"/>
      <c r="C295" s="50"/>
      <c r="D295" s="50"/>
      <c r="E295" s="51"/>
      <c r="F295" s="50"/>
      <c r="G295" s="50"/>
      <c r="H295" s="51"/>
    </row>
    <row r="296" spans="1:8" s="11" customFormat="1" ht="24" customHeight="1" x14ac:dyDescent="0.35">
      <c r="A296" s="50"/>
      <c r="B296" s="51"/>
      <c r="C296" s="50"/>
      <c r="D296" s="50"/>
      <c r="E296" s="51"/>
      <c r="F296" s="50"/>
      <c r="G296" s="50"/>
      <c r="H296" s="51"/>
    </row>
    <row r="297" spans="1:8" s="11" customFormat="1" ht="24" customHeight="1" x14ac:dyDescent="0.35">
      <c r="A297" s="50"/>
      <c r="B297" s="51"/>
      <c r="C297" s="50"/>
      <c r="D297" s="50"/>
      <c r="E297" s="51"/>
      <c r="F297" s="50"/>
      <c r="G297" s="50"/>
      <c r="H297" s="51"/>
    </row>
    <row r="298" spans="1:8" s="11" customFormat="1" ht="24" customHeight="1" x14ac:dyDescent="0.35">
      <c r="A298" s="50"/>
      <c r="B298" s="51"/>
      <c r="C298" s="50"/>
      <c r="D298" s="50"/>
      <c r="E298" s="51"/>
      <c r="F298" s="50"/>
      <c r="G298" s="50"/>
      <c r="H298" s="51"/>
    </row>
    <row r="299" spans="1:8" s="11" customFormat="1" ht="24" customHeight="1" x14ac:dyDescent="0.35">
      <c r="A299" s="50"/>
      <c r="B299" s="51"/>
      <c r="C299" s="50"/>
      <c r="D299" s="50"/>
      <c r="E299" s="51"/>
      <c r="F299" s="50"/>
      <c r="G299" s="50"/>
      <c r="H299" s="51"/>
    </row>
    <row r="300" spans="1:8" s="11" customFormat="1" ht="24" customHeight="1" x14ac:dyDescent="0.35">
      <c r="A300" s="50"/>
      <c r="B300" s="51"/>
      <c r="C300" s="50"/>
      <c r="D300" s="50"/>
      <c r="E300" s="51"/>
      <c r="F300" s="50"/>
      <c r="G300" s="50"/>
      <c r="H300" s="51"/>
    </row>
    <row r="301" spans="1:8" s="11" customFormat="1" ht="24" customHeight="1" x14ac:dyDescent="0.35">
      <c r="A301" s="50"/>
      <c r="B301" s="51"/>
      <c r="C301" s="50"/>
      <c r="D301" s="50"/>
      <c r="E301" s="51"/>
      <c r="F301" s="50"/>
      <c r="G301" s="50"/>
      <c r="H301" s="51"/>
    </row>
    <row r="302" spans="1:8" s="11" customFormat="1" ht="24" customHeight="1" x14ac:dyDescent="0.35">
      <c r="A302" s="50"/>
      <c r="B302" s="51"/>
      <c r="C302" s="50"/>
      <c r="D302" s="50"/>
      <c r="E302" s="51"/>
      <c r="F302" s="50"/>
      <c r="G302" s="50"/>
      <c r="H302" s="51"/>
    </row>
    <row r="303" spans="1:8" s="11" customFormat="1" ht="24" customHeight="1" x14ac:dyDescent="0.35">
      <c r="A303" s="50"/>
      <c r="B303" s="51"/>
      <c r="C303" s="50"/>
      <c r="D303" s="50"/>
      <c r="E303" s="51"/>
      <c r="F303" s="50"/>
      <c r="G303" s="50"/>
      <c r="H303" s="51"/>
    </row>
    <row r="304" spans="1:8" s="11" customFormat="1" ht="24" customHeight="1" x14ac:dyDescent="0.35">
      <c r="A304" s="50"/>
      <c r="B304" s="51"/>
      <c r="C304" s="50"/>
      <c r="D304" s="50"/>
      <c r="E304" s="51"/>
      <c r="F304" s="50"/>
      <c r="G304" s="50"/>
      <c r="H304" s="51"/>
    </row>
    <row r="305" spans="1:8" s="11" customFormat="1" ht="24" customHeight="1" x14ac:dyDescent="0.35">
      <c r="A305" s="50"/>
      <c r="B305" s="51"/>
      <c r="C305" s="50"/>
      <c r="D305" s="50"/>
      <c r="E305" s="51"/>
      <c r="F305" s="50"/>
      <c r="G305" s="50"/>
      <c r="H305" s="51"/>
    </row>
    <row r="306" spans="1:8" s="11" customFormat="1" ht="24" customHeight="1" x14ac:dyDescent="0.35">
      <c r="A306" s="50"/>
      <c r="B306" s="51"/>
      <c r="C306" s="50"/>
      <c r="D306" s="50"/>
      <c r="E306" s="51"/>
      <c r="F306" s="50"/>
      <c r="G306" s="50"/>
      <c r="H306" s="51"/>
    </row>
    <row r="307" spans="1:8" s="11" customFormat="1" ht="24" customHeight="1" x14ac:dyDescent="0.35">
      <c r="A307" s="50"/>
      <c r="B307" s="51"/>
      <c r="C307" s="50"/>
      <c r="D307" s="50"/>
      <c r="E307" s="51"/>
      <c r="F307" s="50"/>
      <c r="G307" s="50"/>
      <c r="H307" s="51"/>
    </row>
    <row r="308" spans="1:8" s="11" customFormat="1" ht="24" customHeight="1" x14ac:dyDescent="0.35">
      <c r="A308" s="50"/>
      <c r="B308" s="51"/>
      <c r="C308" s="50"/>
      <c r="D308" s="50"/>
      <c r="E308" s="51"/>
      <c r="F308" s="50"/>
      <c r="G308" s="50"/>
      <c r="H308" s="51"/>
    </row>
    <row r="309" spans="1:8" s="11" customFormat="1" ht="24" customHeight="1" x14ac:dyDescent="0.35">
      <c r="A309" s="50"/>
      <c r="B309" s="51"/>
      <c r="C309" s="50"/>
      <c r="D309" s="50"/>
      <c r="E309" s="51"/>
      <c r="F309" s="50"/>
      <c r="G309" s="50"/>
      <c r="H309" s="51"/>
    </row>
    <row r="310" spans="1:8" s="11" customFormat="1" ht="24" customHeight="1" x14ac:dyDescent="0.35">
      <c r="A310" s="50"/>
      <c r="B310" s="51"/>
      <c r="C310" s="50"/>
      <c r="D310" s="50"/>
      <c r="E310" s="51"/>
      <c r="F310" s="50"/>
      <c r="G310" s="50"/>
      <c r="H310" s="51"/>
    </row>
    <row r="311" spans="1:8" s="11" customFormat="1" ht="24" customHeight="1" x14ac:dyDescent="0.35">
      <c r="A311" s="50"/>
      <c r="B311" s="51"/>
      <c r="C311" s="50"/>
      <c r="D311" s="50"/>
      <c r="E311" s="51"/>
      <c r="F311" s="50"/>
      <c r="G311" s="50"/>
      <c r="H311" s="51"/>
    </row>
    <row r="312" spans="1:8" s="11" customFormat="1" ht="24" customHeight="1" x14ac:dyDescent="0.35">
      <c r="A312" s="50"/>
      <c r="B312" s="51"/>
      <c r="C312" s="50"/>
      <c r="D312" s="50"/>
      <c r="E312" s="51"/>
      <c r="F312" s="50"/>
      <c r="G312" s="50"/>
      <c r="H312" s="51"/>
    </row>
    <row r="313" spans="1:8" s="11" customFormat="1" ht="24" customHeight="1" x14ac:dyDescent="0.35">
      <c r="A313" s="50"/>
      <c r="B313" s="51"/>
      <c r="C313" s="50"/>
      <c r="D313" s="50"/>
      <c r="E313" s="51"/>
      <c r="F313" s="50"/>
      <c r="G313" s="50"/>
      <c r="H313" s="51"/>
    </row>
    <row r="314" spans="1:8" s="11" customFormat="1" ht="24" customHeight="1" x14ac:dyDescent="0.35">
      <c r="A314" s="50"/>
      <c r="B314" s="51"/>
      <c r="C314" s="50"/>
      <c r="D314" s="50"/>
      <c r="E314" s="51"/>
      <c r="F314" s="50"/>
      <c r="G314" s="50"/>
      <c r="H314" s="51"/>
    </row>
    <row r="315" spans="1:8" s="11" customFormat="1" ht="24" customHeight="1" x14ac:dyDescent="0.35">
      <c r="A315" s="50"/>
      <c r="B315" s="51"/>
      <c r="C315" s="50"/>
      <c r="D315" s="50"/>
      <c r="E315" s="51"/>
      <c r="F315" s="50"/>
      <c r="G315" s="50"/>
      <c r="H315" s="51"/>
    </row>
    <row r="316" spans="1:8" s="11" customFormat="1" ht="24" customHeight="1" x14ac:dyDescent="0.35">
      <c r="A316" s="50"/>
      <c r="B316" s="51"/>
      <c r="C316" s="50"/>
      <c r="D316" s="50"/>
      <c r="E316" s="51"/>
      <c r="F316" s="50"/>
      <c r="G316" s="50"/>
      <c r="H316" s="51"/>
    </row>
    <row r="317" spans="1:8" s="11" customFormat="1" ht="24" customHeight="1" x14ac:dyDescent="0.35">
      <c r="A317" s="50"/>
      <c r="B317" s="51"/>
      <c r="C317" s="50"/>
      <c r="D317" s="50"/>
      <c r="E317" s="51"/>
      <c r="F317" s="50"/>
      <c r="G317" s="50"/>
      <c r="H317" s="51"/>
    </row>
    <row r="318" spans="1:8" s="11" customFormat="1" ht="24" customHeight="1" x14ac:dyDescent="0.35">
      <c r="A318" s="50"/>
      <c r="B318" s="51"/>
      <c r="C318" s="50"/>
      <c r="D318" s="50"/>
      <c r="E318" s="51"/>
      <c r="F318" s="50"/>
      <c r="G318" s="50"/>
      <c r="H318" s="51"/>
    </row>
    <row r="319" spans="1:8" s="11" customFormat="1" ht="24" customHeight="1" x14ac:dyDescent="0.35">
      <c r="A319" s="50"/>
      <c r="B319" s="51"/>
      <c r="C319" s="50"/>
      <c r="D319" s="50"/>
      <c r="E319" s="51"/>
      <c r="F319" s="50"/>
      <c r="G319" s="50"/>
      <c r="H319" s="51"/>
    </row>
    <row r="320" spans="1:8" s="11" customFormat="1" ht="24" customHeight="1" x14ac:dyDescent="0.35">
      <c r="A320" s="50"/>
      <c r="B320" s="51"/>
      <c r="C320" s="50"/>
      <c r="D320" s="50"/>
      <c r="E320" s="51"/>
      <c r="F320" s="50"/>
      <c r="G320" s="50"/>
      <c r="H320" s="51"/>
    </row>
    <row r="321" spans="1:8" s="11" customFormat="1" ht="24" customHeight="1" x14ac:dyDescent="0.35">
      <c r="A321" s="50"/>
      <c r="B321" s="51"/>
      <c r="C321" s="50"/>
      <c r="D321" s="50"/>
      <c r="E321" s="51"/>
      <c r="F321" s="50"/>
      <c r="G321" s="50"/>
      <c r="H321" s="51"/>
    </row>
    <row r="322" spans="1:8" s="11" customFormat="1" ht="24" customHeight="1" x14ac:dyDescent="0.35">
      <c r="A322" s="50"/>
      <c r="B322" s="51"/>
      <c r="C322" s="50"/>
      <c r="D322" s="50"/>
      <c r="E322" s="51"/>
      <c r="F322" s="50"/>
      <c r="G322" s="50"/>
      <c r="H322" s="51"/>
    </row>
    <row r="323" spans="1:8" s="11" customFormat="1" ht="24" customHeight="1" x14ac:dyDescent="0.35">
      <c r="A323" s="50"/>
      <c r="B323" s="51"/>
      <c r="C323" s="50"/>
      <c r="D323" s="50"/>
      <c r="E323" s="51"/>
      <c r="F323" s="50"/>
      <c r="G323" s="50"/>
      <c r="H323" s="51"/>
    </row>
    <row r="324" spans="1:8" x14ac:dyDescent="0.35">
      <c r="A324" s="1"/>
      <c r="B324" s="38"/>
      <c r="C324" s="1"/>
      <c r="D324" s="2"/>
      <c r="E324" s="31"/>
      <c r="F324" s="2"/>
      <c r="G324" s="1"/>
      <c r="H324" s="46"/>
    </row>
    <row r="325" spans="1:8" x14ac:dyDescent="0.35">
      <c r="A325" s="3"/>
    </row>
    <row r="326" spans="1:8" x14ac:dyDescent="0.35">
      <c r="A326" s="3"/>
    </row>
    <row r="327" spans="1:8" x14ac:dyDescent="0.35">
      <c r="A327" s="3"/>
    </row>
    <row r="328" spans="1:8" x14ac:dyDescent="0.35">
      <c r="A328" s="3"/>
    </row>
    <row r="329" spans="1:8" x14ac:dyDescent="0.35">
      <c r="A329" s="3"/>
    </row>
    <row r="330" spans="1:8" x14ac:dyDescent="0.35">
      <c r="A330" s="3"/>
    </row>
    <row r="331" spans="1:8" x14ac:dyDescent="0.35">
      <c r="A331" s="3"/>
    </row>
    <row r="332" spans="1:8" x14ac:dyDescent="0.35">
      <c r="A332" s="3"/>
    </row>
    <row r="333" spans="1:8" x14ac:dyDescent="0.35">
      <c r="A333" s="3"/>
    </row>
    <row r="334" spans="1:8" x14ac:dyDescent="0.35">
      <c r="A334" s="3"/>
    </row>
    <row r="335" spans="1:8" x14ac:dyDescent="0.35">
      <c r="A335" s="3"/>
    </row>
    <row r="336" spans="1:8" x14ac:dyDescent="0.35">
      <c r="A336" s="3"/>
    </row>
    <row r="337" spans="1:1" x14ac:dyDescent="0.35">
      <c r="A337" s="3"/>
    </row>
    <row r="338" spans="1:1" x14ac:dyDescent="0.35">
      <c r="A338" s="3"/>
    </row>
    <row r="339" spans="1:1" x14ac:dyDescent="0.35">
      <c r="A339" s="3"/>
    </row>
    <row r="340" spans="1:1" x14ac:dyDescent="0.35">
      <c r="A340" s="3"/>
    </row>
    <row r="341" spans="1:1" x14ac:dyDescent="0.35">
      <c r="A341" s="3"/>
    </row>
    <row r="342" spans="1:1" x14ac:dyDescent="0.35">
      <c r="A342" s="3"/>
    </row>
    <row r="343" spans="1:1" x14ac:dyDescent="0.35">
      <c r="A343" s="3"/>
    </row>
    <row r="344" spans="1:1" x14ac:dyDescent="0.35">
      <c r="A344" s="3"/>
    </row>
    <row r="345" spans="1:1" x14ac:dyDescent="0.35">
      <c r="A345" s="3"/>
    </row>
    <row r="346" spans="1:1" x14ac:dyDescent="0.35">
      <c r="A346" s="3"/>
    </row>
    <row r="347" spans="1:1" x14ac:dyDescent="0.35">
      <c r="A347" s="3"/>
    </row>
    <row r="348" spans="1:1" x14ac:dyDescent="0.35">
      <c r="A348" s="3"/>
    </row>
    <row r="349" spans="1:1" x14ac:dyDescent="0.35">
      <c r="A349" s="3"/>
    </row>
    <row r="350" spans="1:1" x14ac:dyDescent="0.35">
      <c r="A350" s="3"/>
    </row>
    <row r="351" spans="1:1" x14ac:dyDescent="0.35">
      <c r="A351" s="3"/>
    </row>
    <row r="352" spans="1:1" x14ac:dyDescent="0.35">
      <c r="A352" s="3"/>
    </row>
    <row r="353" spans="1:1" x14ac:dyDescent="0.35">
      <c r="A353" s="3"/>
    </row>
    <row r="354" spans="1:1" x14ac:dyDescent="0.35">
      <c r="A354" s="3"/>
    </row>
    <row r="355" spans="1:1" x14ac:dyDescent="0.35">
      <c r="A355" s="3"/>
    </row>
    <row r="356" spans="1:1" x14ac:dyDescent="0.35">
      <c r="A356" s="3"/>
    </row>
    <row r="357" spans="1:1" x14ac:dyDescent="0.35">
      <c r="A357" s="3"/>
    </row>
    <row r="358" spans="1:1" x14ac:dyDescent="0.35">
      <c r="A358" s="3"/>
    </row>
    <row r="359" spans="1:1" x14ac:dyDescent="0.35">
      <c r="A359" s="3"/>
    </row>
    <row r="360" spans="1:1" x14ac:dyDescent="0.35">
      <c r="A360" s="3"/>
    </row>
    <row r="361" spans="1:1" x14ac:dyDescent="0.35">
      <c r="A361" s="3"/>
    </row>
    <row r="362" spans="1:1" x14ac:dyDescent="0.35">
      <c r="A362" s="3"/>
    </row>
    <row r="363" spans="1:1" x14ac:dyDescent="0.35">
      <c r="A363" s="3"/>
    </row>
    <row r="364" spans="1:1" x14ac:dyDescent="0.35">
      <c r="A364" s="3"/>
    </row>
    <row r="365" spans="1:1" x14ac:dyDescent="0.35">
      <c r="A365" s="3"/>
    </row>
    <row r="366" spans="1:1" x14ac:dyDescent="0.35">
      <c r="A366" s="3"/>
    </row>
    <row r="367" spans="1:1" x14ac:dyDescent="0.35">
      <c r="A367" s="3"/>
    </row>
    <row r="368" spans="1:1" x14ac:dyDescent="0.35">
      <c r="A368" s="3"/>
    </row>
    <row r="369" spans="1:1" x14ac:dyDescent="0.35">
      <c r="A369" s="3"/>
    </row>
    <row r="370" spans="1:1" x14ac:dyDescent="0.35">
      <c r="A370" s="3"/>
    </row>
    <row r="371" spans="1:1" x14ac:dyDescent="0.35">
      <c r="A371" s="3"/>
    </row>
    <row r="372" spans="1:1" x14ac:dyDescent="0.35">
      <c r="A372" s="3"/>
    </row>
    <row r="373" spans="1:1" x14ac:dyDescent="0.35">
      <c r="A373" s="3"/>
    </row>
    <row r="374" spans="1:1" x14ac:dyDescent="0.35">
      <c r="A374" s="3"/>
    </row>
    <row r="375" spans="1:1" x14ac:dyDescent="0.35">
      <c r="A375" s="3"/>
    </row>
    <row r="376" spans="1:1" x14ac:dyDescent="0.35">
      <c r="A376" s="3"/>
    </row>
    <row r="377" spans="1:1" x14ac:dyDescent="0.35">
      <c r="A377" s="3"/>
    </row>
    <row r="378" spans="1:1" x14ac:dyDescent="0.35">
      <c r="A378" s="3"/>
    </row>
    <row r="379" spans="1:1" x14ac:dyDescent="0.35">
      <c r="A379" s="3"/>
    </row>
    <row r="380" spans="1:1" x14ac:dyDescent="0.35">
      <c r="A380" s="3"/>
    </row>
    <row r="381" spans="1:1" x14ac:dyDescent="0.35">
      <c r="A381" s="3"/>
    </row>
    <row r="382" spans="1:1" x14ac:dyDescent="0.35">
      <c r="A382" s="3"/>
    </row>
    <row r="383" spans="1:1" x14ac:dyDescent="0.35">
      <c r="A383" s="3"/>
    </row>
    <row r="384" spans="1:1" x14ac:dyDescent="0.35">
      <c r="A384" s="3"/>
    </row>
    <row r="385" spans="1:1" x14ac:dyDescent="0.35">
      <c r="A385" s="3"/>
    </row>
    <row r="386" spans="1:1" x14ac:dyDescent="0.35">
      <c r="A386" s="3"/>
    </row>
    <row r="387" spans="1:1" x14ac:dyDescent="0.35">
      <c r="A387" s="3"/>
    </row>
    <row r="388" spans="1:1" x14ac:dyDescent="0.35">
      <c r="A388" s="3"/>
    </row>
    <row r="389" spans="1:1" x14ac:dyDescent="0.35">
      <c r="A389" s="3"/>
    </row>
    <row r="390" spans="1:1" x14ac:dyDescent="0.35">
      <c r="A390" s="3"/>
    </row>
    <row r="391" spans="1:1" x14ac:dyDescent="0.35">
      <c r="A391" s="3"/>
    </row>
    <row r="392" spans="1:1" x14ac:dyDescent="0.35">
      <c r="A392" s="3"/>
    </row>
    <row r="393" spans="1:1" x14ac:dyDescent="0.35">
      <c r="A393" s="3"/>
    </row>
    <row r="394" spans="1:1" x14ac:dyDescent="0.35">
      <c r="A394" s="3"/>
    </row>
    <row r="395" spans="1:1" x14ac:dyDescent="0.35">
      <c r="A395" s="3"/>
    </row>
    <row r="396" spans="1:1" x14ac:dyDescent="0.35">
      <c r="A396" s="3"/>
    </row>
    <row r="397" spans="1:1" x14ac:dyDescent="0.35">
      <c r="A397" s="3"/>
    </row>
    <row r="398" spans="1:1" x14ac:dyDescent="0.35">
      <c r="A398" s="3"/>
    </row>
    <row r="399" spans="1:1" x14ac:dyDescent="0.35">
      <c r="A399" s="3"/>
    </row>
    <row r="400" spans="1:1" x14ac:dyDescent="0.35">
      <c r="A400" s="3"/>
    </row>
    <row r="401" spans="1:1" x14ac:dyDescent="0.35">
      <c r="A401" s="3"/>
    </row>
    <row r="402" spans="1:1" x14ac:dyDescent="0.35">
      <c r="A402" s="3"/>
    </row>
    <row r="403" spans="1:1" x14ac:dyDescent="0.35">
      <c r="A403" s="3"/>
    </row>
    <row r="404" spans="1:1" x14ac:dyDescent="0.35">
      <c r="A404" s="3"/>
    </row>
    <row r="405" spans="1:1" x14ac:dyDescent="0.35">
      <c r="A405" s="3"/>
    </row>
    <row r="406" spans="1:1" x14ac:dyDescent="0.35">
      <c r="A406" s="3"/>
    </row>
    <row r="407" spans="1:1" x14ac:dyDescent="0.35">
      <c r="A407" s="3"/>
    </row>
    <row r="408" spans="1:1" x14ac:dyDescent="0.35">
      <c r="A408" s="3"/>
    </row>
    <row r="409" spans="1:1" x14ac:dyDescent="0.35">
      <c r="A409" s="3"/>
    </row>
    <row r="410" spans="1:1" x14ac:dyDescent="0.35">
      <c r="A410" s="3"/>
    </row>
    <row r="411" spans="1:1" x14ac:dyDescent="0.35">
      <c r="A411" s="3"/>
    </row>
    <row r="412" spans="1:1" x14ac:dyDescent="0.35">
      <c r="A412" s="3"/>
    </row>
    <row r="413" spans="1:1" x14ac:dyDescent="0.35">
      <c r="A413" s="3"/>
    </row>
    <row r="414" spans="1:1" x14ac:dyDescent="0.35">
      <c r="A414" s="3"/>
    </row>
    <row r="415" spans="1:1" x14ac:dyDescent="0.35">
      <c r="A415" s="3"/>
    </row>
    <row r="416" spans="1:1" x14ac:dyDescent="0.35">
      <c r="A416" s="3"/>
    </row>
    <row r="417" spans="1:1" x14ac:dyDescent="0.35">
      <c r="A417" s="3"/>
    </row>
    <row r="418" spans="1:1" x14ac:dyDescent="0.35">
      <c r="A418" s="3"/>
    </row>
    <row r="419" spans="1:1" x14ac:dyDescent="0.35">
      <c r="A419" s="3"/>
    </row>
    <row r="420" spans="1:1" x14ac:dyDescent="0.35">
      <c r="A420" s="3"/>
    </row>
    <row r="421" spans="1:1" x14ac:dyDescent="0.35">
      <c r="A421" s="3"/>
    </row>
    <row r="422" spans="1:1" x14ac:dyDescent="0.35">
      <c r="A422" s="3"/>
    </row>
    <row r="423" spans="1:1" x14ac:dyDescent="0.35">
      <c r="A423" s="3"/>
    </row>
    <row r="424" spans="1:1" x14ac:dyDescent="0.35">
      <c r="A424" s="3"/>
    </row>
    <row r="425" spans="1:1" x14ac:dyDescent="0.35">
      <c r="A425" s="3"/>
    </row>
    <row r="426" spans="1:1" x14ac:dyDescent="0.35">
      <c r="A426" s="3"/>
    </row>
    <row r="427" spans="1:1" x14ac:dyDescent="0.35">
      <c r="A427" s="3"/>
    </row>
    <row r="428" spans="1:1" x14ac:dyDescent="0.35">
      <c r="A428" s="3"/>
    </row>
    <row r="429" spans="1:1" x14ac:dyDescent="0.35">
      <c r="A429" s="3"/>
    </row>
    <row r="430" spans="1:1" x14ac:dyDescent="0.35">
      <c r="A430" s="3"/>
    </row>
    <row r="431" spans="1:1" x14ac:dyDescent="0.35">
      <c r="A431" s="3"/>
    </row>
    <row r="432" spans="1:1" x14ac:dyDescent="0.35">
      <c r="A432" s="3"/>
    </row>
    <row r="433" spans="1:1" x14ac:dyDescent="0.35">
      <c r="A433" s="3"/>
    </row>
    <row r="434" spans="1:1" x14ac:dyDescent="0.35">
      <c r="A434" s="3"/>
    </row>
    <row r="435" spans="1:1" x14ac:dyDescent="0.35">
      <c r="A435" s="3"/>
    </row>
    <row r="436" spans="1:1" x14ac:dyDescent="0.35">
      <c r="A436" s="3"/>
    </row>
    <row r="437" spans="1:1" x14ac:dyDescent="0.35">
      <c r="A437" s="3"/>
    </row>
    <row r="438" spans="1:1" x14ac:dyDescent="0.35">
      <c r="A438" s="3"/>
    </row>
    <row r="439" spans="1:1" x14ac:dyDescent="0.35">
      <c r="A439" s="3"/>
    </row>
    <row r="440" spans="1:1" x14ac:dyDescent="0.35">
      <c r="A440" s="3"/>
    </row>
    <row r="441" spans="1:1" x14ac:dyDescent="0.35">
      <c r="A441" s="3"/>
    </row>
    <row r="442" spans="1:1" x14ac:dyDescent="0.35">
      <c r="A442" s="3"/>
    </row>
    <row r="443" spans="1:1" x14ac:dyDescent="0.35">
      <c r="A443" s="3"/>
    </row>
    <row r="444" spans="1:1" x14ac:dyDescent="0.35">
      <c r="A444" s="3"/>
    </row>
    <row r="445" spans="1:1" x14ac:dyDescent="0.35">
      <c r="A445" s="3"/>
    </row>
    <row r="446" spans="1:1" x14ac:dyDescent="0.35">
      <c r="A446" s="3"/>
    </row>
    <row r="447" spans="1:1" x14ac:dyDescent="0.35">
      <c r="A447" s="3"/>
    </row>
    <row r="448" spans="1:1" x14ac:dyDescent="0.35">
      <c r="A448" s="3"/>
    </row>
    <row r="449" spans="1:1" x14ac:dyDescent="0.35">
      <c r="A449" s="3"/>
    </row>
    <row r="450" spans="1:1" x14ac:dyDescent="0.35">
      <c r="A450" s="3"/>
    </row>
    <row r="451" spans="1:1" x14ac:dyDescent="0.35">
      <c r="A451" s="3"/>
    </row>
    <row r="452" spans="1:1" x14ac:dyDescent="0.35">
      <c r="A452" s="3"/>
    </row>
    <row r="453" spans="1:1" x14ac:dyDescent="0.35">
      <c r="A453" s="3"/>
    </row>
    <row r="454" spans="1:1" x14ac:dyDescent="0.35">
      <c r="A454" s="3"/>
    </row>
    <row r="455" spans="1:1" x14ac:dyDescent="0.35">
      <c r="A455" s="3"/>
    </row>
    <row r="456" spans="1:1" x14ac:dyDescent="0.35">
      <c r="A456" s="3"/>
    </row>
    <row r="457" spans="1:1" x14ac:dyDescent="0.35">
      <c r="A457" s="3"/>
    </row>
    <row r="458" spans="1:1" x14ac:dyDescent="0.35">
      <c r="A458" s="3"/>
    </row>
    <row r="459" spans="1:1" x14ac:dyDescent="0.35">
      <c r="A459" s="3"/>
    </row>
    <row r="460" spans="1:1" x14ac:dyDescent="0.35">
      <c r="A460" s="3"/>
    </row>
    <row r="461" spans="1:1" x14ac:dyDescent="0.35">
      <c r="A461" s="3"/>
    </row>
    <row r="462" spans="1:1" x14ac:dyDescent="0.35">
      <c r="A462" s="3"/>
    </row>
    <row r="463" spans="1:1" x14ac:dyDescent="0.35">
      <c r="A463" s="3"/>
    </row>
    <row r="464" spans="1:1" x14ac:dyDescent="0.35">
      <c r="A464" s="3"/>
    </row>
    <row r="465" spans="1:1" x14ac:dyDescent="0.35">
      <c r="A465" s="3"/>
    </row>
    <row r="466" spans="1:1" x14ac:dyDescent="0.35">
      <c r="A466" s="3"/>
    </row>
    <row r="467" spans="1:1" x14ac:dyDescent="0.35">
      <c r="A467" s="3"/>
    </row>
    <row r="468" spans="1:1" x14ac:dyDescent="0.35">
      <c r="A468" s="3"/>
    </row>
    <row r="469" spans="1:1" x14ac:dyDescent="0.35">
      <c r="A469" s="3"/>
    </row>
    <row r="470" spans="1:1" x14ac:dyDescent="0.35">
      <c r="A470" s="3"/>
    </row>
    <row r="471" spans="1:1" x14ac:dyDescent="0.35">
      <c r="A471" s="3"/>
    </row>
    <row r="472" spans="1:1" x14ac:dyDescent="0.35">
      <c r="A472" s="3"/>
    </row>
    <row r="473" spans="1:1" x14ac:dyDescent="0.35">
      <c r="A473" s="3"/>
    </row>
    <row r="474" spans="1:1" x14ac:dyDescent="0.35">
      <c r="A474" s="3"/>
    </row>
    <row r="475" spans="1:1" x14ac:dyDescent="0.35">
      <c r="A475" s="3"/>
    </row>
    <row r="476" spans="1:1" x14ac:dyDescent="0.35">
      <c r="A476" s="3"/>
    </row>
    <row r="477" spans="1:1" x14ac:dyDescent="0.35">
      <c r="A477" s="3"/>
    </row>
    <row r="478" spans="1:1" x14ac:dyDescent="0.35">
      <c r="A478" s="3"/>
    </row>
    <row r="479" spans="1:1" x14ac:dyDescent="0.35">
      <c r="A479" s="3"/>
    </row>
    <row r="480" spans="1:1" x14ac:dyDescent="0.35">
      <c r="A480" s="3"/>
    </row>
    <row r="481" spans="1:1" x14ac:dyDescent="0.35">
      <c r="A481" s="3"/>
    </row>
    <row r="482" spans="1:1" x14ac:dyDescent="0.35">
      <c r="A482" s="3"/>
    </row>
    <row r="483" spans="1:1" x14ac:dyDescent="0.35">
      <c r="A483" s="3"/>
    </row>
    <row r="484" spans="1:1" x14ac:dyDescent="0.35">
      <c r="A484" s="3"/>
    </row>
    <row r="485" spans="1:1" x14ac:dyDescent="0.35">
      <c r="A485" s="3"/>
    </row>
    <row r="486" spans="1:1" x14ac:dyDescent="0.35">
      <c r="A486" s="3"/>
    </row>
    <row r="487" spans="1:1" x14ac:dyDescent="0.35">
      <c r="A487" s="3"/>
    </row>
    <row r="488" spans="1:1" x14ac:dyDescent="0.35">
      <c r="A488" s="3"/>
    </row>
    <row r="489" spans="1:1" x14ac:dyDescent="0.35">
      <c r="A489" s="3"/>
    </row>
    <row r="490" spans="1:1" x14ac:dyDescent="0.35">
      <c r="A490" s="3"/>
    </row>
    <row r="491" spans="1:1" x14ac:dyDescent="0.35">
      <c r="A491" s="3"/>
    </row>
    <row r="492" spans="1:1" x14ac:dyDescent="0.35">
      <c r="A492" s="3"/>
    </row>
    <row r="493" spans="1:1" x14ac:dyDescent="0.35">
      <c r="A493" s="3"/>
    </row>
    <row r="494" spans="1:1" x14ac:dyDescent="0.35">
      <c r="A494" s="3"/>
    </row>
    <row r="495" spans="1:1" x14ac:dyDescent="0.35">
      <c r="A495" s="3"/>
    </row>
    <row r="496" spans="1:1" x14ac:dyDescent="0.35">
      <c r="A496" s="3"/>
    </row>
    <row r="497" spans="1:1" x14ac:dyDescent="0.35">
      <c r="A497" s="3"/>
    </row>
    <row r="498" spans="1:1" x14ac:dyDescent="0.35">
      <c r="A498" s="3"/>
    </row>
    <row r="499" spans="1:1" x14ac:dyDescent="0.35">
      <c r="A499" s="3"/>
    </row>
    <row r="500" spans="1:1" x14ac:dyDescent="0.35">
      <c r="A500" s="3"/>
    </row>
    <row r="501" spans="1:1" x14ac:dyDescent="0.35">
      <c r="A501" s="3"/>
    </row>
    <row r="502" spans="1:1" x14ac:dyDescent="0.35">
      <c r="A502" s="3"/>
    </row>
    <row r="503" spans="1:1" x14ac:dyDescent="0.35">
      <c r="A503" s="3"/>
    </row>
    <row r="504" spans="1:1" x14ac:dyDescent="0.35">
      <c r="A504" s="3"/>
    </row>
    <row r="505" spans="1:1" x14ac:dyDescent="0.35">
      <c r="A505" s="3"/>
    </row>
    <row r="506" spans="1:1" x14ac:dyDescent="0.35">
      <c r="A506" s="3"/>
    </row>
    <row r="507" spans="1:1" x14ac:dyDescent="0.35">
      <c r="A507" s="3"/>
    </row>
    <row r="508" spans="1:1" x14ac:dyDescent="0.35">
      <c r="A508" s="3"/>
    </row>
    <row r="509" spans="1:1" x14ac:dyDescent="0.35">
      <c r="A509" s="3"/>
    </row>
    <row r="510" spans="1:1" x14ac:dyDescent="0.35">
      <c r="A510" s="3"/>
    </row>
    <row r="511" spans="1:1" x14ac:dyDescent="0.35">
      <c r="A511" s="3"/>
    </row>
    <row r="512" spans="1:1" x14ac:dyDescent="0.35">
      <c r="A512" s="3"/>
    </row>
    <row r="513" spans="1:1" x14ac:dyDescent="0.35">
      <c r="A513" s="3"/>
    </row>
    <row r="514" spans="1:1" x14ac:dyDescent="0.35">
      <c r="A514" s="3"/>
    </row>
    <row r="515" spans="1:1" x14ac:dyDescent="0.35">
      <c r="A515" s="3"/>
    </row>
    <row r="516" spans="1:1" x14ac:dyDescent="0.35">
      <c r="A516" s="3"/>
    </row>
    <row r="517" spans="1:1" x14ac:dyDescent="0.35">
      <c r="A517" s="3"/>
    </row>
    <row r="518" spans="1:1" x14ac:dyDescent="0.35">
      <c r="A518" s="3"/>
    </row>
    <row r="519" spans="1:1" x14ac:dyDescent="0.35">
      <c r="A519" s="3"/>
    </row>
    <row r="520" spans="1:1" x14ac:dyDescent="0.35">
      <c r="A520" s="3"/>
    </row>
    <row r="521" spans="1:1" x14ac:dyDescent="0.35">
      <c r="A521" s="3"/>
    </row>
    <row r="522" spans="1:1" x14ac:dyDescent="0.35">
      <c r="A522" s="3"/>
    </row>
    <row r="523" spans="1:1" x14ac:dyDescent="0.35">
      <c r="A523" s="3"/>
    </row>
    <row r="524" spans="1:1" x14ac:dyDescent="0.35">
      <c r="A524" s="3"/>
    </row>
    <row r="525" spans="1:1" x14ac:dyDescent="0.35">
      <c r="A525" s="3"/>
    </row>
    <row r="526" spans="1:1" x14ac:dyDescent="0.35">
      <c r="A526" s="3"/>
    </row>
    <row r="527" spans="1:1" x14ac:dyDescent="0.35">
      <c r="A527" s="3"/>
    </row>
    <row r="528" spans="1:1" x14ac:dyDescent="0.35">
      <c r="A528" s="3"/>
    </row>
    <row r="529" spans="1:1" x14ac:dyDescent="0.35">
      <c r="A529" s="3"/>
    </row>
    <row r="530" spans="1:1" x14ac:dyDescent="0.35">
      <c r="A530" s="3"/>
    </row>
    <row r="531" spans="1:1" x14ac:dyDescent="0.35">
      <c r="A531" s="3"/>
    </row>
    <row r="532" spans="1:1" x14ac:dyDescent="0.35">
      <c r="A532" s="3"/>
    </row>
    <row r="533" spans="1:1" x14ac:dyDescent="0.35">
      <c r="A533" s="3"/>
    </row>
    <row r="534" spans="1:1" x14ac:dyDescent="0.35">
      <c r="A534" s="3"/>
    </row>
    <row r="535" spans="1:1" x14ac:dyDescent="0.35">
      <c r="A535" s="3"/>
    </row>
    <row r="536" spans="1:1" x14ac:dyDescent="0.35">
      <c r="A536" s="3"/>
    </row>
    <row r="537" spans="1:1" x14ac:dyDescent="0.35">
      <c r="A537" s="3"/>
    </row>
    <row r="538" spans="1:1" x14ac:dyDescent="0.35">
      <c r="A538" s="3"/>
    </row>
    <row r="539" spans="1:1" x14ac:dyDescent="0.35">
      <c r="A539" s="3"/>
    </row>
    <row r="540" spans="1:1" x14ac:dyDescent="0.35">
      <c r="A540" s="3"/>
    </row>
    <row r="541" spans="1:1" x14ac:dyDescent="0.35">
      <c r="A541" s="3"/>
    </row>
    <row r="542" spans="1:1" x14ac:dyDescent="0.35">
      <c r="A542" s="3"/>
    </row>
    <row r="543" spans="1:1" x14ac:dyDescent="0.35">
      <c r="A543" s="3"/>
    </row>
    <row r="544" spans="1:1" x14ac:dyDescent="0.35">
      <c r="A544" s="3"/>
    </row>
    <row r="545" spans="1:1" x14ac:dyDescent="0.35">
      <c r="A545" s="3"/>
    </row>
    <row r="546" spans="1:1" x14ac:dyDescent="0.35">
      <c r="A546" s="3"/>
    </row>
    <row r="547" spans="1:1" x14ac:dyDescent="0.35">
      <c r="A547" s="3"/>
    </row>
    <row r="548" spans="1:1" x14ac:dyDescent="0.35">
      <c r="A548" s="3"/>
    </row>
    <row r="549" spans="1:1" x14ac:dyDescent="0.35">
      <c r="A549" s="3"/>
    </row>
    <row r="550" spans="1:1" x14ac:dyDescent="0.35">
      <c r="A550" s="3"/>
    </row>
    <row r="551" spans="1:1" x14ac:dyDescent="0.35">
      <c r="A551" s="3"/>
    </row>
    <row r="552" spans="1:1" x14ac:dyDescent="0.35">
      <c r="A552" s="3"/>
    </row>
    <row r="553" spans="1:1" x14ac:dyDescent="0.35">
      <c r="A553" s="3"/>
    </row>
    <row r="554" spans="1:1" x14ac:dyDescent="0.35">
      <c r="A554" s="3"/>
    </row>
    <row r="555" spans="1:1" x14ac:dyDescent="0.35">
      <c r="A555" s="3"/>
    </row>
    <row r="556" spans="1:1" x14ac:dyDescent="0.35">
      <c r="A556" s="3"/>
    </row>
    <row r="557" spans="1:1" x14ac:dyDescent="0.35">
      <c r="A557" s="3"/>
    </row>
    <row r="558" spans="1:1" x14ac:dyDescent="0.35">
      <c r="A558" s="3"/>
    </row>
    <row r="559" spans="1:1" x14ac:dyDescent="0.35">
      <c r="A559" s="3"/>
    </row>
    <row r="560" spans="1:1" x14ac:dyDescent="0.35">
      <c r="A560" s="3"/>
    </row>
    <row r="561" spans="1:1" x14ac:dyDescent="0.35">
      <c r="A561" s="3"/>
    </row>
    <row r="562" spans="1:1" x14ac:dyDescent="0.35">
      <c r="A562" s="3"/>
    </row>
    <row r="563" spans="1:1" x14ac:dyDescent="0.35">
      <c r="A563" s="3"/>
    </row>
    <row r="564" spans="1:1" x14ac:dyDescent="0.35">
      <c r="A564" s="3"/>
    </row>
    <row r="565" spans="1:1" x14ac:dyDescent="0.35">
      <c r="A565" s="3"/>
    </row>
    <row r="566" spans="1:1" x14ac:dyDescent="0.35">
      <c r="A566" s="3"/>
    </row>
    <row r="567" spans="1:1" x14ac:dyDescent="0.35">
      <c r="A567" s="3"/>
    </row>
    <row r="568" spans="1:1" x14ac:dyDescent="0.35">
      <c r="A568" s="3"/>
    </row>
    <row r="569" spans="1:1" x14ac:dyDescent="0.35">
      <c r="A569" s="3"/>
    </row>
    <row r="570" spans="1:1" x14ac:dyDescent="0.35">
      <c r="A570" s="3"/>
    </row>
    <row r="571" spans="1:1" x14ac:dyDescent="0.35">
      <c r="A571" s="3"/>
    </row>
    <row r="572" spans="1:1" x14ac:dyDescent="0.35">
      <c r="A572" s="3"/>
    </row>
    <row r="573" spans="1:1" x14ac:dyDescent="0.35">
      <c r="A573" s="3"/>
    </row>
    <row r="574" spans="1:1" x14ac:dyDescent="0.35">
      <c r="A574" s="3"/>
    </row>
    <row r="575" spans="1:1" x14ac:dyDescent="0.35">
      <c r="A575" s="3"/>
    </row>
    <row r="576" spans="1:1" x14ac:dyDescent="0.35">
      <c r="A576" s="3"/>
    </row>
    <row r="577" spans="1:1" x14ac:dyDescent="0.35">
      <c r="A577" s="3"/>
    </row>
    <row r="578" spans="1:1" x14ac:dyDescent="0.35">
      <c r="A578" s="3"/>
    </row>
    <row r="579" spans="1:1" x14ac:dyDescent="0.35">
      <c r="A579" s="3"/>
    </row>
    <row r="580" spans="1:1" x14ac:dyDescent="0.35">
      <c r="A580" s="3"/>
    </row>
    <row r="581" spans="1:1" x14ac:dyDescent="0.35">
      <c r="A581" s="3"/>
    </row>
    <row r="582" spans="1:1" x14ac:dyDescent="0.35">
      <c r="A582" s="3"/>
    </row>
    <row r="583" spans="1:1" x14ac:dyDescent="0.35">
      <c r="A583" s="3"/>
    </row>
    <row r="584" spans="1:1" x14ac:dyDescent="0.35">
      <c r="A584" s="3"/>
    </row>
    <row r="585" spans="1:1" x14ac:dyDescent="0.35">
      <c r="A585" s="3"/>
    </row>
    <row r="586" spans="1:1" x14ac:dyDescent="0.35">
      <c r="A586" s="3"/>
    </row>
    <row r="587" spans="1:1" x14ac:dyDescent="0.35">
      <c r="A587" s="3"/>
    </row>
    <row r="588" spans="1:1" x14ac:dyDescent="0.35">
      <c r="A588" s="3"/>
    </row>
    <row r="589" spans="1:1" x14ac:dyDescent="0.35">
      <c r="A589" s="3"/>
    </row>
    <row r="590" spans="1:1" x14ac:dyDescent="0.35">
      <c r="A590" s="3"/>
    </row>
    <row r="591" spans="1:1" x14ac:dyDescent="0.35">
      <c r="A591" s="3"/>
    </row>
    <row r="592" spans="1:1" x14ac:dyDescent="0.35">
      <c r="A592" s="3"/>
    </row>
    <row r="593" spans="1:1" x14ac:dyDescent="0.35">
      <c r="A593" s="3"/>
    </row>
    <row r="594" spans="1:1" x14ac:dyDescent="0.35">
      <c r="A594" s="3"/>
    </row>
    <row r="595" spans="1:1" x14ac:dyDescent="0.35">
      <c r="A595" s="3"/>
    </row>
    <row r="596" spans="1:1" x14ac:dyDescent="0.35">
      <c r="A596" s="3"/>
    </row>
    <row r="597" spans="1:1" x14ac:dyDescent="0.35">
      <c r="A597" s="3"/>
    </row>
    <row r="598" spans="1:1" x14ac:dyDescent="0.35">
      <c r="A598" s="3"/>
    </row>
    <row r="599" spans="1:1" x14ac:dyDescent="0.35">
      <c r="A599" s="3"/>
    </row>
    <row r="600" spans="1:1" x14ac:dyDescent="0.35">
      <c r="A600" s="3"/>
    </row>
    <row r="601" spans="1:1" x14ac:dyDescent="0.35">
      <c r="A601" s="3"/>
    </row>
    <row r="602" spans="1:1" x14ac:dyDescent="0.35">
      <c r="A602" s="3"/>
    </row>
    <row r="603" spans="1:1" x14ac:dyDescent="0.35">
      <c r="A603" s="3"/>
    </row>
    <row r="604" spans="1:1" x14ac:dyDescent="0.35">
      <c r="A604" s="3"/>
    </row>
    <row r="605" spans="1:1" x14ac:dyDescent="0.35">
      <c r="A605" s="3"/>
    </row>
    <row r="606" spans="1:1" x14ac:dyDescent="0.35">
      <c r="A606" s="3"/>
    </row>
    <row r="607" spans="1:1" x14ac:dyDescent="0.35">
      <c r="A607" s="3"/>
    </row>
    <row r="608" spans="1:1" x14ac:dyDescent="0.35">
      <c r="A608" s="3"/>
    </row>
    <row r="609" spans="1:8" x14ac:dyDescent="0.35">
      <c r="A609" s="3"/>
    </row>
    <row r="610" spans="1:8" x14ac:dyDescent="0.35">
      <c r="A610" s="3"/>
    </row>
    <row r="611" spans="1:8" x14ac:dyDescent="0.35">
      <c r="A611" s="3"/>
    </row>
    <row r="612" spans="1:8" x14ac:dyDescent="0.35">
      <c r="A612" s="3"/>
    </row>
    <row r="613" spans="1:8" x14ac:dyDescent="0.35">
      <c r="A613" s="3"/>
    </row>
    <row r="614" spans="1:8" x14ac:dyDescent="0.35">
      <c r="A614" s="3"/>
    </row>
    <row r="615" spans="1:8" x14ac:dyDescent="0.35">
      <c r="A615" s="3"/>
    </row>
    <row r="616" spans="1:8" x14ac:dyDescent="0.35">
      <c r="A616" s="3"/>
    </row>
    <row r="617" spans="1:8" x14ac:dyDescent="0.35">
      <c r="A617" s="6"/>
      <c r="B617" s="40"/>
      <c r="C617" s="6"/>
      <c r="D617" s="7"/>
      <c r="F617" s="7"/>
      <c r="G617" s="6"/>
      <c r="H617" s="48"/>
    </row>
  </sheetData>
  <mergeCells count="2">
    <mergeCell ref="I249:L249"/>
    <mergeCell ref="J1:K1"/>
  </mergeCells>
  <phoneticPr fontId="1" type="noConversion"/>
  <dataValidations count="6">
    <dataValidation type="whole" allowBlank="1" showInputMessage="1" showErrorMessage="1" sqref="D324:D1048576" xr:uid="{D16331D0-CE40-4CDD-979D-7D6474B102F1}">
      <formula1>1</formula1>
      <formula2>6</formula2>
    </dataValidation>
    <dataValidation type="list" allowBlank="1" showInputMessage="1" showErrorMessage="1" sqref="D59:D63 D216:D323 D176:D193 D39:D41 D195:D214 D122:D125 D107:D120 D22:D23 D16:D19 D25:D35 D65:D80 D2:D14 D127:D158 D82:D94" xr:uid="{8A8C58AB-A3E9-4DF4-B173-F1D0ADFCA922}">
      <formula1>$I$250:$I$255</formula1>
    </dataValidation>
    <dataValidation type="list" allowBlank="1" showInputMessage="1" showErrorMessage="1" sqref="D51 D53 D101" xr:uid="{CB9E9558-8594-4064-8261-1D0331B42C9A}">
      <formula1>$I$250:$I$251</formula1>
    </dataValidation>
    <dataValidation type="list" allowBlank="1" showInputMessage="1" showErrorMessage="1" sqref="D24 D36:D38 D46 D97 D100 D104 D159 D161 D169 D172:D173 D175" xr:uid="{C5F7795D-33FF-451C-9415-8F41804FE729}">
      <formula1>$I$250:$I$252</formula1>
    </dataValidation>
    <dataValidation type="list" allowBlank="1" showInputMessage="1" showErrorMessage="1" sqref="D45 D47 D50 D58 D96 D99 D162 D166" xr:uid="{2AFEF702-44F8-4254-97F7-7600C24176E0}">
      <formula1>$I$250:$I$253</formula1>
    </dataValidation>
    <dataValidation type="list" allowBlank="1" showInputMessage="1" showErrorMessage="1" sqref="D95 D160 D163:D164 D167:D168 D170 D194" xr:uid="{56F7FC5E-06E9-467C-82CC-227D8B672EED}">
      <formula1>$I$250:$I$254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482C-45D7-8441-BF54-9385138E6A7B}">
  <dimension ref="A1"/>
  <sheetViews>
    <sheetView zoomScaleNormal="60" zoomScaleSheetLayoutView="100"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yofiso</dc:creator>
  <cp:lastModifiedBy>咕咕 咕</cp:lastModifiedBy>
  <dcterms:created xsi:type="dcterms:W3CDTF">2015-06-05T18:19:34Z</dcterms:created>
  <dcterms:modified xsi:type="dcterms:W3CDTF">2026-06-26T18:03:11Z</dcterms:modified>
</cp:coreProperties>
</file>